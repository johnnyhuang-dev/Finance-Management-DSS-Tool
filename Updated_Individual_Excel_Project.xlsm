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9.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ctrlProps/ctrlProp14.xml" ContentType="application/vnd.ms-excel.controlproperties+xml"/>
  <Override PartName="/xl/tables/table7.xml" ContentType="application/vnd.openxmlformats-officedocument.spreadsheetml.table+xml"/>
  <Override PartName="/xl/drawings/drawing6.xml" ContentType="application/vnd.openxmlformats-officedocument.drawing+xml"/>
  <Override PartName="/xl/ctrlProps/ctrlProp15.xml" ContentType="application/vnd.ms-excel.controlproperties+xml"/>
  <Override PartName="/xl/tables/table8.xml" ContentType="application/vnd.openxmlformats-officedocument.spreadsheetml.table+xml"/>
  <Override PartName="/xl/drawings/drawing7.xml" ContentType="application/vnd.openxmlformats-officedocument.drawing+xml"/>
  <Override PartName="/xl/ctrlProps/ctrlProp16.xml" ContentType="application/vnd.ms-excel.controlproperties+xml"/>
  <Override PartName="/xl/tables/table9.xml" ContentType="application/vnd.openxmlformats-officedocument.spreadsheetml.table+xml"/>
  <Override PartName="/xl/drawings/drawing8.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10"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uofwaterloo-my.sharepoint.com/personal/j673huan_uwaterloo_ca/Documents/"/>
    </mc:Choice>
  </mc:AlternateContent>
  <xr:revisionPtr revIDLastSave="0" documentId="8_{1F687D55-1190-4578-9BA1-D17371E3F912}" xr6:coauthVersionLast="47" xr6:coauthVersionMax="47" xr10:uidLastSave="{00000000-0000-0000-0000-000000000000}"/>
  <bookViews>
    <workbookView xWindow="-120" yWindow="-120" windowWidth="21840" windowHeight="13140" xr2:uid="{00000000-000D-0000-FFFF-FFFF00000000}"/>
  </bookViews>
  <sheets>
    <sheet name="Home" sheetId="1" r:id="rId1"/>
    <sheet name="Dashboard" sheetId="2" r:id="rId2"/>
    <sheet name="Financial Advice" sheetId="9" r:id="rId3"/>
    <sheet name="Review" sheetId="3" r:id="rId4"/>
    <sheet name="Food Budget" sheetId="5" r:id="rId5"/>
    <sheet name="Expenses" sheetId="6" r:id="rId6"/>
    <sheet name="Goals" sheetId="7" r:id="rId7"/>
    <sheet name="Instructions" sheetId="10" r:id="rId8"/>
  </sheets>
  <definedNames>
    <definedName name="_xleta.OR"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9" i="7" l="1"/>
  <c r="H9" i="7"/>
  <c r="G8" i="7"/>
  <c r="H8" i="7"/>
  <c r="G7" i="7"/>
  <c r="H7" i="7"/>
  <c r="D17" i="9"/>
  <c r="D18" i="9"/>
  <c r="D19" i="9"/>
  <c r="D22" i="9"/>
  <c r="G6" i="7"/>
  <c r="H6" i="7"/>
  <c r="H2" i="7"/>
  <c r="H3" i="7"/>
  <c r="H4" i="7"/>
  <c r="H5" i="7"/>
  <c r="G2" i="7"/>
  <c r="D16" i="9" s="1"/>
  <c r="G3" i="7"/>
  <c r="D20" i="9" s="1"/>
  <c r="G4" i="7"/>
  <c r="D15" i="9" s="1"/>
  <c r="G5" i="7"/>
  <c r="D21" i="9" s="1"/>
  <c r="C29" i="9" l="1"/>
  <c r="C20" i="9"/>
  <c r="C55" i="2"/>
  <c r="C56" i="2"/>
  <c r="C57" i="2"/>
  <c r="C58" i="2"/>
  <c r="C54" i="2"/>
  <c r="B31" i="2"/>
  <c r="C18" i="2"/>
  <c r="C15" i="2"/>
  <c r="C16" i="2"/>
  <c r="C17" i="2"/>
  <c r="C19" i="2"/>
  <c r="C20" i="2"/>
  <c r="C17" i="9"/>
  <c r="C18" i="9"/>
  <c r="C19" i="9"/>
  <c r="C21" i="9"/>
  <c r="C22" i="9"/>
  <c r="A8" i="6"/>
  <c r="A3" i="6"/>
  <c r="A101" i="5"/>
  <c r="A102" i="5" s="1"/>
  <c r="A103" i="5" s="1"/>
  <c r="A99" i="5"/>
  <c r="A90" i="5"/>
  <c r="A91" i="5" s="1"/>
  <c r="A83" i="5"/>
  <c r="A84" i="5" s="1"/>
  <c r="A85" i="5" s="1"/>
  <c r="A86" i="5" s="1"/>
  <c r="A73" i="5"/>
  <c r="A74" i="5" s="1"/>
  <c r="A75" i="5" s="1"/>
  <c r="A76" i="5" s="1"/>
  <c r="A77" i="5" s="1"/>
  <c r="A78" i="5" s="1"/>
  <c r="A79" i="5" s="1"/>
  <c r="A80" i="5" s="1"/>
  <c r="A81" i="5" s="1"/>
  <c r="A70" i="5"/>
  <c r="A71" i="5" s="1"/>
  <c r="A66" i="5"/>
  <c r="A67" i="5" s="1"/>
  <c r="A68" i="5" s="1"/>
  <c r="A61" i="5"/>
  <c r="A62" i="5" s="1"/>
  <c r="A63" i="5" s="1"/>
  <c r="A59" i="5"/>
  <c r="A54" i="5"/>
  <c r="A55" i="5" s="1"/>
  <c r="A56" i="5" s="1"/>
  <c r="A49" i="5"/>
  <c r="A50" i="5" s="1"/>
  <c r="A51" i="5" s="1"/>
  <c r="A52" i="5" s="1"/>
  <c r="A44" i="5"/>
  <c r="A45" i="5" s="1"/>
  <c r="A46" i="5" s="1"/>
  <c r="A47" i="5" s="1"/>
  <c r="A42" i="5"/>
  <c r="A41" i="5"/>
  <c r="A40" i="5"/>
  <c r="A39" i="5"/>
  <c r="A37" i="5"/>
  <c r="A36" i="5"/>
  <c r="A35" i="5"/>
  <c r="A34" i="5"/>
  <c r="A32" i="5"/>
  <c r="A30" i="5"/>
  <c r="C8" i="9" s="1"/>
  <c r="F22" i="9" l="1"/>
  <c r="E22" i="9"/>
  <c r="F21" i="9"/>
  <c r="E21" i="9"/>
  <c r="F19" i="9"/>
  <c r="E19" i="9"/>
  <c r="F18" i="9"/>
  <c r="E18" i="9"/>
  <c r="F17" i="9"/>
  <c r="E17" i="9"/>
  <c r="F20" i="9"/>
  <c r="E20" i="9"/>
  <c r="A4" i="6"/>
  <c r="A9" i="6"/>
  <c r="A5" i="6" l="1"/>
  <c r="A10" i="6"/>
  <c r="A6" i="6" l="1"/>
  <c r="C16" i="9"/>
  <c r="A11" i="6"/>
  <c r="F16" i="9" l="1"/>
  <c r="E16" i="9"/>
  <c r="C14" i="2"/>
  <c r="A12" i="6"/>
  <c r="A13" i="6" l="1"/>
  <c r="A14" i="6" l="1"/>
  <c r="A15" i="6" l="1"/>
  <c r="A16" i="6" l="1"/>
  <c r="A17" i="6" l="1"/>
  <c r="A18" i="6" l="1"/>
  <c r="A19" i="6" l="1"/>
  <c r="A20" i="6" l="1"/>
  <c r="A21" i="6" l="1"/>
  <c r="A22" i="6" l="1"/>
  <c r="A23" i="6" l="1"/>
  <c r="A24" i="6" l="1"/>
  <c r="B29" i="9" s="1"/>
  <c r="B8" i="9"/>
  <c r="H7" i="9" s="1"/>
  <c r="D29" i="9" l="1"/>
  <c r="E29" i="9" s="1"/>
  <c r="H28" i="9"/>
  <c r="C15" i="9"/>
  <c r="C42" i="2"/>
  <c r="C41" i="2"/>
  <c r="C40" i="2"/>
  <c r="C39" i="2"/>
  <c r="C38" i="2"/>
  <c r="C37" i="2"/>
  <c r="C36" i="2"/>
  <c r="C35" i="2"/>
  <c r="C34" i="2"/>
  <c r="C33" i="2"/>
  <c r="C32" i="2"/>
  <c r="C13" i="2"/>
  <c r="C31" i="2"/>
  <c r="E8" i="9"/>
  <c r="D8" i="9"/>
  <c r="F15" i="9" l="1"/>
  <c r="H16" i="9" s="1"/>
  <c r="E15" i="9"/>
</calcChain>
</file>

<file path=xl/sharedStrings.xml><?xml version="1.0" encoding="utf-8"?>
<sst xmlns="http://schemas.openxmlformats.org/spreadsheetml/2006/main" count="627" uniqueCount="128">
  <si>
    <t>Spending by Category This Year</t>
  </si>
  <si>
    <t>Category</t>
  </si>
  <si>
    <t>Amount</t>
  </si>
  <si>
    <t>Proteins</t>
  </si>
  <si>
    <t>Carbohydrates</t>
  </si>
  <si>
    <t>Vegetables</t>
  </si>
  <si>
    <t>Fruits</t>
  </si>
  <si>
    <t>Drinks</t>
  </si>
  <si>
    <t>Snacks</t>
  </si>
  <si>
    <t>Restaurant</t>
  </si>
  <si>
    <t>Others</t>
  </si>
  <si>
    <t>Monthly Totals</t>
  </si>
  <si>
    <t>Month</t>
  </si>
  <si>
    <t>2025-02</t>
  </si>
  <si>
    <t>2025-03</t>
  </si>
  <si>
    <t>2025-04</t>
  </si>
  <si>
    <t>2025-05</t>
  </si>
  <si>
    <t>2025-06</t>
  </si>
  <si>
    <t>2025-07</t>
  </si>
  <si>
    <t>2025-08</t>
  </si>
  <si>
    <t>2025-09</t>
  </si>
  <si>
    <t>2025-10</t>
  </si>
  <si>
    <t>2025-11</t>
  </si>
  <si>
    <t>2025-12</t>
  </si>
  <si>
    <t>Top Budget Sources This Year</t>
  </si>
  <si>
    <t>Salary</t>
  </si>
  <si>
    <t>Parents</t>
  </si>
  <si>
    <t>Scholarship</t>
  </si>
  <si>
    <t>Loan</t>
  </si>
  <si>
    <t>Spending This Month</t>
  </si>
  <si>
    <t>Monthly Added Budget</t>
  </si>
  <si>
    <t>Leftover Budget</t>
  </si>
  <si>
    <t>% of Budget Used</t>
  </si>
  <si>
    <t>Spent</t>
  </si>
  <si>
    <t>Goal Budget</t>
  </si>
  <si>
    <t>Status</t>
  </si>
  <si>
    <t>Percent Used</t>
  </si>
  <si>
    <t>Monthly Expense Goal Progression (All Categories)</t>
  </si>
  <si>
    <t>Amount Spent</t>
  </si>
  <si>
    <t>Max Amount Expected</t>
  </si>
  <si>
    <t>Progress Bar</t>
  </si>
  <si>
    <t>Start Date</t>
  </si>
  <si>
    <t>Date</t>
  </si>
  <si>
    <t>Description</t>
  </si>
  <si>
    <t>Source/Category</t>
  </si>
  <si>
    <t>End Date</t>
  </si>
  <si>
    <t>protein bowl</t>
  </si>
  <si>
    <t>Repeat Frequency</t>
  </si>
  <si>
    <t>Repeat Until</t>
  </si>
  <si>
    <t>Shopping</t>
  </si>
  <si>
    <t>Every Day</t>
  </si>
  <si>
    <t>Every Month</t>
  </si>
  <si>
    <t>Other</t>
  </si>
  <si>
    <t>Every Year</t>
  </si>
  <si>
    <t>Custom</t>
  </si>
  <si>
    <t>A</t>
  </si>
  <si>
    <t>d</t>
  </si>
  <si>
    <t>f</t>
  </si>
  <si>
    <t>President's</t>
  </si>
  <si>
    <t>burrito</t>
  </si>
  <si>
    <t>Snack Bars</t>
  </si>
  <si>
    <t>Restock Snacks</t>
  </si>
  <si>
    <t>Rice</t>
  </si>
  <si>
    <t>Veggies China Town</t>
  </si>
  <si>
    <t>Restock Drinks</t>
  </si>
  <si>
    <t>Family Dine Out</t>
  </si>
  <si>
    <t>Delivery</t>
  </si>
  <si>
    <t>Protein Powder</t>
  </si>
  <si>
    <t>Bag of rice</t>
  </si>
  <si>
    <t>Carrot</t>
  </si>
  <si>
    <t>Goal Type</t>
  </si>
  <si>
    <t>Target Amount</t>
  </si>
  <si>
    <t>Notes</t>
  </si>
  <si>
    <t>Check Start Date</t>
  </si>
  <si>
    <t>Check End Date</t>
  </si>
  <si>
    <t>Monthly</t>
  </si>
  <si>
    <t>All</t>
  </si>
  <si>
    <t>EXCEL FOOD BUDGET &amp; EXPENSES FINANCIAL MANAGEMENT TOOL</t>
  </si>
  <si>
    <t>INSTRUCTIONS SHEET</t>
  </si>
  <si>
    <t>1. PURPOSE OF THIS TOOL</t>
  </si>
  <si>
    <t>This tool aims to help university students (especially Waterloo students) track their food budgets and expenses. It compares their spending to budgets, graphs yearly/month spending patterns, and gives simple financial advice based on real spending data. The tool updates automatically when new data is added.</t>
  </si>
  <si>
    <t>2. HOW TO USE THE "ADD EXPENSE" BUTTON TO TRACK EXPENSES</t>
  </si>
  <si>
    <t>1. Go to the “Home” sheet and press the "Add Expenses" button.</t>
  </si>
  <si>
    <t>2. For every purchase, enter:</t>
  </si>
  <si>
    <t xml:space="preserve">   * Date (YYYY-MM-DD format)</t>
  </si>
  <si>
    <t xml:space="preserve">   * Category (select one of the budget categories)</t>
  </si>
  <si>
    <t xml:space="preserve">   * Description</t>
  </si>
  <si>
    <t xml:space="preserve">   * Amount (numeric value only)</t>
  </si>
  <si>
    <t xml:space="preserve">   * Repeat Frequency and Finish Date (optional)</t>
  </si>
  <si>
    <t>3. Click the Save button to save transaction.</t>
  </si>
  <si>
    <t>3. HOW TO USE THE "ADD TO BUDGET" BUTTON TO SET BUDGETS</t>
  </si>
  <si>
    <t>1. Go to the “Home” sheet and press the "Add to Budget" button.</t>
  </si>
  <si>
    <t>2. Enter an added budget amount while filling in the rest of the data fields, similar to step 2 of Expenses.</t>
  </si>
  <si>
    <t>3. Click the Save button.</t>
  </si>
  <si>
    <t>4. HOW THE DASHBOARD WORKS</t>
  </si>
  <si>
    <t>The Dashboard updates automatically and shows:</t>
  </si>
  <si>
    <t>* Spending by category this year</t>
  </si>
  <si>
    <t>* Monthly food spending</t>
  </si>
  <si>
    <t>* Top Budget Sources this year</t>
  </si>
  <si>
    <t>No manual refreshing is required.</t>
  </si>
  <si>
    <t>5. HOW THE FINANCIAL ADVICE SECTION WORKS</t>
  </si>
  <si>
    <t>The Financial Advice section:</t>
  </si>
  <si>
    <t>* Uses your real budgeting, spending, and goals data of the current month</t>
  </si>
  <si>
    <t>* Detects when a category exceeds its budget</t>
  </si>
  <si>
    <t>* Generates category-specific suggestions</t>
  </si>
  <si>
    <t>* Generates goal progression for the month's total spending</t>
  </si>
  <si>
    <t>* Updates automatically as spending changes</t>
  </si>
  <si>
    <t>This section is meant for quick guidance on actionable steps you can take to improve finances.</t>
  </si>
  <si>
    <t>6. HOW TO USE GOALS SECTION</t>
  </si>
  <si>
    <t>1. Go to "Home" sheet and press button "Add Goal Spending Limit"</t>
  </si>
  <si>
    <t>2. Select whether the goal is monthly or yearly (monthly is recommended as financial advice analyzes current month performance.</t>
  </si>
  <si>
    <t>3. Select category (All or some specific category of expenses)</t>
  </si>
  <si>
    <t>4. If needed, check the checkbox to input a start and end date for the goal</t>
  </si>
  <si>
    <t>5. Click Save button</t>
  </si>
  <si>
    <t>6. Monthly category goals will be tracked for every month unless start and end date specified</t>
  </si>
  <si>
    <t>7. IMPORTANT RULES TO AVOID ERRORS</t>
  </si>
  <si>
    <t>* Always write valid date numbers for year, month, and day whenever they are needed.</t>
  </si>
  <si>
    <t>* Do not insert spaces into blank date fields.</t>
  </si>
  <si>
    <t>* Do not rename sheets.</t>
  </si>
  <si>
    <t>* Do not change any formula cells.</t>
  </si>
  <si>
    <t>* Do not create new or "space" categories when adding budget/expense/goal, select one of the options</t>
  </si>
  <si>
    <t>* Amount fields must contain numbers only.</t>
  </si>
  <si>
    <t>8. RECOMMENDED DAILY / WEEKLY USE</t>
  </si>
  <si>
    <t>* Enter expenses daily or weekly.</t>
  </si>
  <si>
    <t>* Enter budgets daily, weekly, or monthly (recommended to keep track of monthly budget additions).</t>
  </si>
  <si>
    <t>* Check the dashboardand financial advice weekly.</t>
  </si>
  <si>
    <t>* Adjust your budget and expenses monthly based on actual spending vs expected budgets.</t>
  </si>
  <si>
    <t>* Use the financial advice section to improve financial habits and decisions.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</si>
</sst>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quot;$&quot;#,##0.00"/>
  </numFmts>
  <fonts count="12">
    <font>
      <sz val="11"/>
      <color theme="1"/>
      <name val="Calibri"/>
      <family val="2"/>
      <scheme val="minor"/>
    </font>
    <font>
      <sz val="11"/>
      <color theme="0"/>
      <name val="Calibri"/>
      <family val="2"/>
      <scheme val="minor"/>
    </font>
    <font>
      <sz val="11"/>
      <color rgb="FF474747"/>
      <name val="Arial"/>
      <family val="2"/>
    </font>
    <font>
      <sz val="11"/>
      <color theme="1"/>
      <name val="Calibri"/>
      <family val="2"/>
      <scheme val="minor"/>
    </font>
    <font>
      <sz val="14"/>
      <color theme="1"/>
      <name val="Calibri"/>
      <family val="2"/>
      <scheme val="minor"/>
    </font>
    <font>
      <sz val="16"/>
      <color theme="1"/>
      <name val="Calibri"/>
      <family val="2"/>
      <scheme val="minor"/>
    </font>
    <font>
      <sz val="8"/>
      <name val="Calibri"/>
      <family val="2"/>
      <scheme val="minor"/>
    </font>
    <font>
      <sz val="12"/>
      <color theme="1"/>
      <name val="Calibri"/>
      <family val="2"/>
      <scheme val="minor"/>
    </font>
    <font>
      <sz val="8"/>
      <color theme="1"/>
      <name val="Calibri"/>
      <family val="2"/>
      <scheme val="minor"/>
    </font>
    <font>
      <b/>
      <sz val="16"/>
      <color theme="4"/>
      <name val="Calibri"/>
      <family val="2"/>
      <scheme val="minor"/>
    </font>
    <font>
      <b/>
      <sz val="12"/>
      <color theme="1"/>
      <name val="Calibri"/>
      <family val="2"/>
      <scheme val="minor"/>
    </font>
    <font>
      <b/>
      <sz val="16"/>
      <color theme="1"/>
      <name val="Calibri"/>
      <family val="2"/>
      <scheme val="minor"/>
    </font>
  </fonts>
  <fills count="8">
    <fill>
      <patternFill patternType="none"/>
    </fill>
    <fill>
      <patternFill patternType="gray125"/>
    </fill>
    <fill>
      <patternFill patternType="solid">
        <fgColor theme="8"/>
      </patternFill>
    </fill>
    <fill>
      <patternFill patternType="solid">
        <fgColor rgb="FFFFFBEF"/>
        <bgColor indexed="64"/>
      </patternFill>
    </fill>
    <fill>
      <patternFill patternType="solid">
        <fgColor theme="4"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rgb="FFEFF6FB"/>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3">
    <xf numFmtId="0" fontId="0" fillId="0" borderId="0"/>
    <xf numFmtId="0" fontId="1" fillId="2" borderId="0"/>
    <xf numFmtId="9" fontId="3" fillId="0" borderId="0" applyFont="0" applyFill="0" applyBorder="0" applyAlignment="0" applyProtection="0"/>
  </cellStyleXfs>
  <cellXfs count="41">
    <xf numFmtId="0" fontId="0" fillId="0" borderId="0" xfId="0"/>
    <xf numFmtId="0" fontId="1" fillId="2" borderId="1" xfId="1" applyBorder="1"/>
    <xf numFmtId="164" fontId="0" fillId="0" borderId="0" xfId="0" applyNumberFormat="1"/>
    <xf numFmtId="0" fontId="1" fillId="2" borderId="1" xfId="1" applyBorder="1" applyAlignment="1">
      <alignment wrapText="1"/>
    </xf>
    <xf numFmtId="0" fontId="0" fillId="0" borderId="0" xfId="0" applyAlignment="1">
      <alignment wrapText="1"/>
    </xf>
    <xf numFmtId="164" fontId="0" fillId="0" borderId="0" xfId="0" applyNumberFormat="1" applyAlignment="1">
      <alignment wrapText="1"/>
    </xf>
    <xf numFmtId="14" fontId="2" fillId="0" borderId="0" xfId="0" applyNumberFormat="1" applyFont="1"/>
    <xf numFmtId="165" fontId="0" fillId="0" borderId="0" xfId="0" applyNumberFormat="1" applyAlignment="1">
      <alignment wrapText="1"/>
    </xf>
    <xf numFmtId="0" fontId="1" fillId="2" borderId="2" xfId="1" applyBorder="1"/>
    <xf numFmtId="165" fontId="0" fillId="0" borderId="0" xfId="0" applyNumberFormat="1"/>
    <xf numFmtId="14" fontId="0" fillId="0" borderId="0" xfId="0" applyNumberFormat="1" applyAlignment="1">
      <alignment wrapText="1"/>
    </xf>
    <xf numFmtId="0" fontId="0" fillId="3" borderId="0" xfId="0" applyFill="1"/>
    <xf numFmtId="165" fontId="0" fillId="3" borderId="0" xfId="0" applyNumberFormat="1" applyFill="1"/>
    <xf numFmtId="0" fontId="3" fillId="3" borderId="0" xfId="0" applyFont="1" applyFill="1"/>
    <xf numFmtId="164" fontId="3" fillId="3" borderId="0" xfId="0" applyNumberFormat="1" applyFont="1" applyFill="1"/>
    <xf numFmtId="165" fontId="3" fillId="3" borderId="0" xfId="0" applyNumberFormat="1" applyFont="1" applyFill="1"/>
    <xf numFmtId="0" fontId="5" fillId="4" borderId="1" xfId="1" applyFont="1" applyFill="1" applyBorder="1"/>
    <xf numFmtId="0" fontId="3" fillId="4" borderId="0" xfId="1" applyFont="1" applyFill="1"/>
    <xf numFmtId="0" fontId="0" fillId="4" borderId="0" xfId="0" applyFill="1"/>
    <xf numFmtId="14" fontId="0" fillId="3" borderId="0" xfId="0" applyNumberFormat="1" applyFill="1"/>
    <xf numFmtId="0" fontId="0" fillId="3" borderId="0" xfId="0" applyFill="1" applyAlignment="1">
      <alignment wrapText="1"/>
    </xf>
    <xf numFmtId="0" fontId="4" fillId="3" borderId="0" xfId="0" applyFont="1" applyFill="1" applyAlignment="1">
      <alignment vertical="center" wrapText="1"/>
    </xf>
    <xf numFmtId="0" fontId="4" fillId="5" borderId="0" xfId="0" applyFont="1" applyFill="1" applyAlignment="1">
      <alignment horizontal="center" vertical="center" wrapText="1"/>
    </xf>
    <xf numFmtId="9" fontId="4" fillId="5" borderId="0" xfId="0" applyNumberFormat="1" applyFont="1" applyFill="1" applyAlignment="1">
      <alignment horizontal="center" vertical="center" wrapText="1"/>
    </xf>
    <xf numFmtId="165" fontId="7" fillId="5" borderId="6" xfId="0" applyNumberFormat="1" applyFont="1" applyFill="1" applyBorder="1" applyAlignment="1">
      <alignment horizontal="center" vertical="center" wrapText="1"/>
    </xf>
    <xf numFmtId="165" fontId="7" fillId="5" borderId="7" xfId="0" applyNumberFormat="1" applyFont="1" applyFill="1" applyBorder="1" applyAlignment="1">
      <alignment horizontal="center" vertical="center" wrapText="1"/>
    </xf>
    <xf numFmtId="9" fontId="7" fillId="5" borderId="8" xfId="2" applyFont="1" applyFill="1" applyBorder="1" applyAlignment="1">
      <alignment horizontal="center" vertical="center" wrapText="1"/>
    </xf>
    <xf numFmtId="10" fontId="4" fillId="5" borderId="0" xfId="0" applyNumberFormat="1" applyFont="1" applyFill="1" applyAlignment="1">
      <alignment horizontal="center" vertical="center" wrapText="1"/>
    </xf>
    <xf numFmtId="10" fontId="8" fillId="5" borderId="0" xfId="0" applyNumberFormat="1" applyFont="1" applyFill="1" applyAlignment="1">
      <alignment wrapText="1"/>
    </xf>
    <xf numFmtId="0" fontId="4" fillId="6" borderId="0" xfId="0" applyFont="1" applyFill="1" applyAlignment="1">
      <alignment horizontal="center" vertical="center" wrapText="1"/>
    </xf>
    <xf numFmtId="0" fontId="7" fillId="6" borderId="3" xfId="0" applyFont="1" applyFill="1" applyBorder="1" applyAlignment="1">
      <alignment horizontal="center" vertical="center" wrapText="1"/>
    </xf>
    <xf numFmtId="0" fontId="7" fillId="6" borderId="4" xfId="0" applyFont="1" applyFill="1" applyBorder="1" applyAlignment="1">
      <alignment horizontal="center" vertical="center" wrapText="1"/>
    </xf>
    <xf numFmtId="0" fontId="7" fillId="6" borderId="5" xfId="0" applyFont="1" applyFill="1" applyBorder="1" applyAlignment="1">
      <alignment horizontal="center" vertical="center" wrapText="1"/>
    </xf>
    <xf numFmtId="0" fontId="4" fillId="7" borderId="0" xfId="0" applyFont="1" applyFill="1" applyAlignment="1">
      <alignment horizontal="center" vertical="center" wrapText="1"/>
    </xf>
    <xf numFmtId="0" fontId="11" fillId="3" borderId="0" xfId="0" applyFont="1" applyFill="1"/>
    <xf numFmtId="0" fontId="7" fillId="3" borderId="0" xfId="0" applyFont="1" applyFill="1"/>
    <xf numFmtId="0" fontId="10" fillId="3" borderId="0" xfId="0" applyFont="1" applyFill="1"/>
    <xf numFmtId="0" fontId="7" fillId="3" borderId="0" xfId="0" applyFont="1" applyFill="1" applyAlignment="1">
      <alignment wrapText="1"/>
    </xf>
    <xf numFmtId="0" fontId="4" fillId="3" borderId="0" xfId="0" applyFont="1" applyFill="1" applyAlignment="1">
      <alignment horizontal="center" vertical="center" wrapText="1"/>
    </xf>
    <xf numFmtId="0" fontId="9" fillId="7" borderId="0" xfId="0" applyFont="1" applyFill="1" applyAlignment="1">
      <alignment horizontal="center" vertical="center" wrapText="1"/>
    </xf>
    <xf numFmtId="0" fontId="7" fillId="3" borderId="0" xfId="0" applyFont="1" applyFill="1" applyAlignment="1">
      <alignment horizontal="left" wrapText="1"/>
    </xf>
  </cellXfs>
  <cellStyles count="3">
    <cellStyle name="Accent5" xfId="1" builtinId="45"/>
    <cellStyle name="Normal" xfId="0" builtinId="0"/>
    <cellStyle name="Percent" xfId="2" builtinId="5"/>
  </cellStyles>
  <dxfs count="66">
    <dxf>
      <numFmt numFmtId="0" formatCode="General"/>
      <alignment horizontal="general" vertical="bottom" wrapText="1"/>
    </dxf>
    <dxf>
      <numFmt numFmtId="0" formatCode="General"/>
      <alignment horizontal="general" vertical="bottom" wrapText="1"/>
    </dxf>
    <dxf>
      <alignment horizontal="general" vertical="bottom" wrapText="1"/>
    </dxf>
    <dxf>
      <alignment horizontal="general" vertical="bottom" wrapText="1"/>
    </dxf>
    <dxf>
      <alignment horizontal="general" vertical="bottom" wrapText="1"/>
    </dxf>
    <dxf>
      <alignment horizontal="general" vertical="bottom" wrapText="1"/>
    </dxf>
    <dxf>
      <alignment horizontal="general" vertical="bottom" wrapText="1"/>
    </dxf>
    <dxf>
      <alignment horizontal="general" vertical="bottom" wrapText="1"/>
    </dxf>
    <dxf>
      <alignment horizontal="general" vertical="bottom" wrapText="1"/>
    </dxf>
    <dxf>
      <alignment horizontal="general" vertical="bottom" wrapText="1"/>
    </dxf>
    <dxf>
      <numFmt numFmtId="164" formatCode="yyyy\-mm\-dd;@"/>
    </dxf>
    <dxf>
      <numFmt numFmtId="165" formatCode="&quot;$&quot;#,##0.00"/>
    </dxf>
    <dxf>
      <numFmt numFmtId="164" formatCode="yyyy\-mm\-dd;@"/>
    </dxf>
    <dxf>
      <border outline="0">
        <left style="thin">
          <color rgb="FFB2B2B2"/>
        </left>
        <right style="thin">
          <color rgb="FFB2B2B2"/>
        </right>
        <top/>
        <bottom/>
      </border>
    </dxf>
    <dxf>
      <numFmt numFmtId="164" formatCode="yyyy\-mm\-dd;@"/>
      <alignment horizontal="general" vertical="bottom" textRotation="0" wrapText="1" indent="0" justifyLastLine="0" shrinkToFit="0" readingOrder="0"/>
    </dxf>
    <dxf>
      <alignment horizontal="general" vertical="bottom" textRotation="0" wrapText="1" indent="0" justifyLastLine="0" shrinkToFit="0" readingOrder="0"/>
    </dxf>
    <dxf>
      <numFmt numFmtId="165" formatCode="&quot;$&quot;#,##0.00"/>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yyyy\-mm\-dd;@"/>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wrapText="1"/>
      <border outline="0">
        <left style="thin">
          <color rgb="FFB2B2B2"/>
        </left>
        <right style="thin">
          <color rgb="FFB2B2B2"/>
        </right>
        <top/>
        <bottom/>
      </border>
    </dxf>
    <dxf>
      <font>
        <b val="0"/>
        <i val="0"/>
        <strike val="0"/>
        <condense val="0"/>
        <extend val="0"/>
        <outline val="0"/>
        <shadow val="0"/>
        <u val="none"/>
        <vertAlign val="baseline"/>
        <sz val="8"/>
        <color theme="1"/>
        <name val="Calibri"/>
        <family val="2"/>
        <scheme val="minor"/>
      </font>
      <numFmt numFmtId="14" formatCode="0.00%"/>
      <fill>
        <patternFill patternType="solid">
          <fgColor indexed="64"/>
          <bgColor theme="0"/>
        </patternFill>
      </fill>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family val="2"/>
        <scheme val="minor"/>
      </font>
      <numFmt numFmtId="14" formatCode="0.00%"/>
      <fill>
        <patternFill patternType="solid">
          <fgColor indexed="64"/>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4"/>
        <color theme="1"/>
        <name val="Calibri"/>
        <family val="2"/>
        <scheme val="minor"/>
      </font>
      <fill>
        <patternFill patternType="solid">
          <fgColor indexed="64"/>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4"/>
        <color theme="1"/>
        <name val="Calibri"/>
        <family val="2"/>
        <scheme val="minor"/>
      </font>
      <fill>
        <patternFill patternType="solid">
          <fgColor indexed="64"/>
          <bgColor theme="0"/>
        </patternFill>
      </fill>
      <alignment horizontal="center" vertical="center" textRotation="0" wrapText="1" indent="0" justifyLastLine="0" shrinkToFit="0" readingOrder="0"/>
    </dxf>
    <dxf>
      <fill>
        <patternFill patternType="solid">
          <fgColor indexed="64"/>
          <bgColor theme="0"/>
        </patternFill>
      </fill>
    </dxf>
    <dxf>
      <font>
        <b val="0"/>
        <i val="0"/>
        <strike val="0"/>
        <condense val="0"/>
        <extend val="0"/>
        <outline val="0"/>
        <shadow val="0"/>
        <u val="none"/>
        <vertAlign val="baseline"/>
        <sz val="14"/>
        <color theme="1"/>
        <name val="Calibri"/>
        <family val="2"/>
        <scheme val="minor"/>
      </font>
      <fill>
        <patternFill patternType="solid">
          <fgColor indexed="64"/>
          <bgColor rgb="FFEFF6FB"/>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2"/>
        <color theme="1"/>
        <name val="Calibri"/>
        <family val="2"/>
        <scheme val="minor"/>
      </font>
      <numFmt numFmtId="165" formatCode="&quot;$&quot;#,##0.0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165" formatCode="&quot;$&quot;#,##0.0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165" formatCode="&quot;$&quot;#,##0.00"/>
      <fill>
        <patternFill patternType="solid">
          <fgColor indexed="64"/>
          <bgColor theme="0"/>
        </patternFill>
      </fill>
      <alignment horizontal="center" vertical="center" textRotation="0" wrapText="1" indent="0" justifyLastLine="0" shrinkToFit="0" readingOrder="0"/>
      <border diagonalUp="0" diagonalDown="0" outline="0">
        <left/>
        <right style="thin">
          <color indexed="64"/>
        </right>
        <top style="thin">
          <color indexed="64"/>
        </top>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strike val="0"/>
        <outline val="0"/>
        <shadow val="0"/>
        <u val="none"/>
        <vertAlign val="baseline"/>
        <sz val="12"/>
        <color theme="1"/>
        <name val="Calibri"/>
        <family val="2"/>
        <scheme val="minor"/>
      </font>
      <fill>
        <patternFill patternType="solid">
          <fgColor indexed="64"/>
          <bgColor theme="0"/>
        </patternFill>
      </fill>
    </dxf>
    <dxf>
      <font>
        <b val="0"/>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4"/>
        <color theme="1"/>
        <name val="Calibri"/>
        <family val="2"/>
        <scheme val="minor"/>
      </font>
      <numFmt numFmtId="13" formatCode="0%"/>
      <fill>
        <patternFill patternType="solid">
          <fgColor indexed="64"/>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4"/>
        <color theme="1"/>
        <name val="Calibri"/>
        <family val="2"/>
        <scheme val="minor"/>
      </font>
      <fill>
        <patternFill patternType="solid">
          <fgColor indexed="64"/>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4"/>
        <color theme="1"/>
        <name val="Calibri"/>
        <family val="2"/>
        <scheme val="minor"/>
      </font>
      <fill>
        <patternFill patternType="solid">
          <fgColor indexed="64"/>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4"/>
        <color theme="1"/>
        <name val="Calibri"/>
        <family val="2"/>
        <scheme val="minor"/>
      </font>
      <fill>
        <patternFill patternType="solid">
          <fgColor indexed="64"/>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4"/>
        <color theme="1"/>
        <name val="Calibri"/>
        <family val="2"/>
        <scheme val="minor"/>
      </font>
      <fill>
        <patternFill patternType="solid">
          <fgColor indexed="64"/>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4"/>
        <color theme="1"/>
        <name val="Calibri"/>
        <family val="2"/>
        <scheme val="minor"/>
      </font>
      <fill>
        <patternFill patternType="solid">
          <fgColor indexed="64"/>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4"/>
        <color theme="1"/>
        <name val="Calibri"/>
        <family val="2"/>
        <scheme val="minor"/>
      </font>
      <fill>
        <patternFill patternType="solid">
          <fgColor indexed="64"/>
          <bgColor theme="8" tint="0.79998168889431442"/>
        </patternFill>
      </fill>
      <alignment horizontal="center" vertical="center" textRotation="0" wrapText="1" indent="0" justifyLastLine="0" shrinkToFit="0" readingOrder="0"/>
    </dxf>
    <dxf>
      <font>
        <color rgb="FF9C0006"/>
      </font>
      <fill>
        <patternFill patternType="none">
          <bgColor auto="1"/>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bgColor rgb="FFFF2F2F"/>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bgColor rgb="FFFF0000"/>
        </patternFill>
      </fill>
    </dxf>
    <dxf>
      <fill>
        <patternFill patternType="solid">
          <fgColor indexed="64"/>
          <bgColor rgb="FFFFFBEF"/>
        </patternFill>
      </fill>
    </dxf>
    <dxf>
      <fill>
        <patternFill patternType="solid">
          <fgColor indexed="64"/>
          <bgColor rgb="FFFFFBEF"/>
        </patternFill>
      </fill>
    </dxf>
    <dxf>
      <fill>
        <patternFill patternType="solid">
          <fgColor indexed="64"/>
          <bgColor rgb="FFFFFBEF"/>
        </patternFill>
      </fill>
    </dxf>
    <dxf>
      <fill>
        <patternFill patternType="solid">
          <fgColor indexed="64"/>
          <bgColor rgb="FFFFFBEF"/>
        </patternFill>
      </fill>
    </dxf>
    <dxf>
      <numFmt numFmtId="165" formatCode="&quot;$&quot;#,##0.00"/>
      <fill>
        <patternFill patternType="solid">
          <fgColor indexed="64"/>
          <bgColor rgb="FFFFFBEF"/>
        </patternFill>
      </fill>
    </dxf>
    <dxf>
      <fill>
        <patternFill patternType="solid">
          <fgColor indexed="64"/>
          <bgColor rgb="FFFFFBEF"/>
        </patternFill>
      </fill>
    </dxf>
    <dxf>
      <fill>
        <patternFill patternType="solid">
          <fgColor indexed="64"/>
          <bgColor rgb="FFFFFBEF"/>
        </patternFill>
      </fill>
    </dxf>
    <dxf>
      <numFmt numFmtId="165" formatCode="&quot;$&quot;#,##0.00"/>
      <fill>
        <patternFill patternType="solid">
          <fgColor indexed="64"/>
          <bgColor rgb="FFFFFBEF"/>
        </patternFill>
      </fill>
    </dxf>
    <dxf>
      <fill>
        <patternFill patternType="solid">
          <fgColor indexed="64"/>
          <bgColor rgb="FFFFFBEF"/>
        </patternFill>
      </fill>
    </dxf>
    <dxf>
      <fill>
        <patternFill patternType="solid">
          <fgColor indexed="64"/>
          <bgColor rgb="FFFFFBEF"/>
        </patternFill>
      </fill>
    </dxf>
  </dxfs>
  <tableStyles count="0" defaultTableStyle="TableStyleMedium2" defaultPivotStyle="PivotStyleMedium9"/>
  <colors>
    <mruColors>
      <color rgb="FFFFFBEF"/>
      <color rgb="FFEFF6FB"/>
      <color rgb="FFFF2F2F"/>
      <color rgb="FFFF696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Monthly Food Spending</a:t>
            </a:r>
          </a:p>
        </c:rich>
      </c:tx>
      <c:overlay val="0"/>
    </c:title>
    <c:autoTitleDeleted val="0"/>
    <c:plotArea>
      <c:layout/>
      <c:lineChart>
        <c:grouping val="standard"/>
        <c:varyColors val="0"/>
        <c:ser>
          <c:idx val="0"/>
          <c:order val="0"/>
          <c:tx>
            <c:strRef>
              <c:f>Dashboard!$C$30</c:f>
              <c:strCache>
                <c:ptCount val="1"/>
                <c:pt idx="0">
                  <c:v>Amount</c:v>
                </c:pt>
              </c:strCache>
            </c:strRef>
          </c:tx>
          <c:spPr>
            <a:ln>
              <a:prstDash val="solid"/>
            </a:ln>
          </c:spPr>
          <c:marker>
            <c:symbol val="none"/>
          </c:marker>
          <c:cat>
            <c:strRef>
              <c:f>Dashboard!$B$31:$B$42</c:f>
              <c:strCache>
                <c:ptCount val="12"/>
                <c:pt idx="0">
                  <c:v>2026-01</c:v>
                </c:pt>
                <c:pt idx="1">
                  <c:v>2025-02</c:v>
                </c:pt>
                <c:pt idx="2">
                  <c:v>2025-03</c:v>
                </c:pt>
                <c:pt idx="3">
                  <c:v>2025-04</c:v>
                </c:pt>
                <c:pt idx="4">
                  <c:v>2025-05</c:v>
                </c:pt>
                <c:pt idx="5">
                  <c:v>2025-06</c:v>
                </c:pt>
                <c:pt idx="6">
                  <c:v>2025-07</c:v>
                </c:pt>
                <c:pt idx="7">
                  <c:v>2025-08</c:v>
                </c:pt>
                <c:pt idx="8">
                  <c:v>2025-09</c:v>
                </c:pt>
                <c:pt idx="9">
                  <c:v>2025-10</c:v>
                </c:pt>
                <c:pt idx="10">
                  <c:v>2025-11</c:v>
                </c:pt>
                <c:pt idx="11">
                  <c:v>2025-12</c:v>
                </c:pt>
              </c:strCache>
            </c:strRef>
          </c:cat>
          <c:val>
            <c:numRef>
              <c:f>Dashboard!$C$31:$C$42</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926E-4495-B13C-B7F7DCFA32CB}"/>
            </c:ext>
          </c:extLst>
        </c:ser>
        <c:dLbls>
          <c:showLegendKey val="0"/>
          <c:showVal val="0"/>
          <c:showCatName val="0"/>
          <c:showSerName val="0"/>
          <c:showPercent val="0"/>
          <c:showBubbleSize val="0"/>
        </c:dLbls>
        <c:smooth val="0"/>
        <c:axId val="10"/>
        <c:axId val="100"/>
      </c:lineChart>
      <c:catAx>
        <c:axId val="10"/>
        <c:scaling>
          <c:orientation val="minMax"/>
        </c:scaling>
        <c:delete val="0"/>
        <c:axPos val="b"/>
        <c:title>
          <c:tx>
            <c:rich>
              <a:bodyPr/>
              <a:lstStyle/>
              <a:p>
                <a:pPr>
                  <a:defRPr/>
                </a:pPr>
                <a:r>
                  <a:rPr lang="en-CA"/>
                  <a:t>Month</a:t>
                </a:r>
              </a:p>
            </c:rich>
          </c:tx>
          <c:overlay val="0"/>
        </c:title>
        <c:numFmt formatCode="General" sourceLinked="1"/>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title>
          <c:tx>
            <c:rich>
              <a:bodyPr/>
              <a:lstStyle/>
              <a:p>
                <a:pPr>
                  <a:defRPr/>
                </a:pPr>
                <a:r>
                  <a:rPr lang="en-CA"/>
                  <a:t>Amount</a:t>
                </a:r>
              </a:p>
            </c:rich>
          </c:tx>
          <c:overlay val="0"/>
        </c:title>
        <c:numFmt formatCode="&quot;$&quot;#,##0.00" sourceLinked="1"/>
        <c:majorTickMark val="none"/>
        <c:minorTickMark val="none"/>
        <c:tickLblPos val="nextTo"/>
        <c:crossAx val="10"/>
        <c:crosses val="autoZero"/>
        <c:crossBetween val="between"/>
      </c:valAx>
    </c:plotArea>
    <c:legend>
      <c:legendPos val="r"/>
      <c:overlay val="0"/>
    </c:legend>
    <c:plotVisOnly val="1"/>
    <c:dispBlanksAs val="gap"/>
    <c:showDLblsOverMax val="0"/>
  </c:chart>
  <c:spPr>
    <a:solidFill>
      <a:schemeClr val="accent5">
        <a:lumMod val="20000"/>
        <a:lumOff val="80000"/>
      </a:schemeClr>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CA"/>
              <a:t>Spending by Category This Year</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pieChart>
        <c:varyColors val="1"/>
        <c:ser>
          <c:idx val="0"/>
          <c:order val="0"/>
          <c:tx>
            <c:strRef>
              <c:f>Dashboard!$C$12</c:f>
              <c:strCache>
                <c:ptCount val="1"/>
                <c:pt idx="0">
                  <c:v>Amount</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929A-4FBC-ABB1-8BF6E9ABBD09}"/>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0-929A-4FBC-ABB1-8BF6E9ABBD09}"/>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929A-4FBC-ABB1-8BF6E9ABBD09}"/>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4-929A-4FBC-ABB1-8BF6E9ABBD09}"/>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2-929A-4FBC-ABB1-8BF6E9ABBD09}"/>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929A-4FBC-ABB1-8BF6E9ABBD09}"/>
              </c:ext>
            </c:extLst>
          </c:dPt>
          <c:dPt>
            <c:idx val="6"/>
            <c:bubble3D val="0"/>
            <c:spPr>
              <a:solidFill>
                <a:schemeClr val="accent1">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6-929A-4FBC-ABB1-8BF6E9ABBD09}"/>
              </c:ext>
            </c:extLst>
          </c:dPt>
          <c:dPt>
            <c:idx val="7"/>
            <c:bubble3D val="0"/>
            <c:spPr>
              <a:solidFill>
                <a:schemeClr val="accent2">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929A-4FBC-ABB1-8BF6E9ABBD09}"/>
              </c:ext>
            </c:extLst>
          </c:dPt>
          <c:dLbls>
            <c:dLbl>
              <c:idx val="0"/>
              <c:tx>
                <c:rich>
                  <a:bodyPr/>
                  <a:lstStyle/>
                  <a:p>
                    <a:fld id="{2E44B0F6-14D5-42CC-833D-FBA27D7551C6}" type="PERCENTAGE">
                      <a:rPr lang="en-US" baseline="0"/>
                      <a:pPr/>
                      <a:t>[]</a:t>
                    </a:fld>
                    <a:endParaRPr/>
                  </a:p>
                </c:rich>
              </c:tx>
              <c:dLblPos val="inEnd"/>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929A-4FBC-ABB1-8BF6E9ABBD09}"/>
                </c:ext>
              </c:extLst>
            </c:dLbl>
            <c:dLbl>
              <c:idx val="1"/>
              <c:tx>
                <c:rich>
                  <a:bodyPr/>
                  <a:lstStyle/>
                  <a:p>
                    <a:fld id="{8B8E9892-5417-4761-94BA-EBD968835962}" type="PERCENTAGE">
                      <a:rPr lang="en-US" baseline="0"/>
                      <a:pPr/>
                      <a:t>[]</a:t>
                    </a:fld>
                    <a:endParaRPr/>
                  </a:p>
                </c:rich>
              </c:tx>
              <c:dLblPos val="inEnd"/>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929A-4FBC-ABB1-8BF6E9ABBD09}"/>
                </c:ext>
              </c:extLst>
            </c:dLbl>
            <c:dLbl>
              <c:idx val="2"/>
              <c:tx>
                <c:rich>
                  <a:bodyPr/>
                  <a:lstStyle/>
                  <a:p>
                    <a:fld id="{62452EA6-735C-4A81-B9C6-9D65A4CC5F61}" type="PERCENTAGE">
                      <a:rPr lang="en-US" baseline="0"/>
                      <a:pPr/>
                      <a:t>[]</a:t>
                    </a:fld>
                    <a:endParaRPr/>
                  </a:p>
                </c:rich>
              </c:tx>
              <c:dLblPos val="inEnd"/>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929A-4FBC-ABB1-8BF6E9ABBD09}"/>
                </c:ext>
              </c:extLst>
            </c:dLbl>
            <c:dLbl>
              <c:idx val="3"/>
              <c:tx>
                <c:rich>
                  <a:bodyPr/>
                  <a:lstStyle/>
                  <a:p>
                    <a:fld id="{33B9DD54-F901-45C5-AA47-BB05365FD911}" type="PERCENTAGE">
                      <a:rPr lang="en-US" baseline="0"/>
                      <a:pPr/>
                      <a:t>[]</a:t>
                    </a:fld>
                    <a:endParaRPr/>
                  </a:p>
                </c:rich>
              </c:tx>
              <c:dLblPos val="inEnd"/>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4-929A-4FBC-ABB1-8BF6E9ABBD09}"/>
                </c:ext>
              </c:extLst>
            </c:dLbl>
            <c:dLbl>
              <c:idx val="4"/>
              <c:tx>
                <c:rich>
                  <a:bodyPr/>
                  <a:lstStyle/>
                  <a:p>
                    <a:fld id="{FC1030E5-A65B-4C4C-B0B4-0C5F2BA7E312}" type="PERCENTAGE">
                      <a:rPr lang="en-US" baseline="0"/>
                      <a:pPr/>
                      <a:t>[]</a:t>
                    </a:fld>
                    <a:endParaRPr/>
                  </a:p>
                </c:rich>
              </c:tx>
              <c:dLblPos val="inEnd"/>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929A-4FBC-ABB1-8BF6E9ABBD09}"/>
                </c:ext>
              </c:extLst>
            </c:dLbl>
            <c:dLbl>
              <c:idx val="5"/>
              <c:tx>
                <c:rich>
                  <a:bodyPr/>
                  <a:lstStyle/>
                  <a:p>
                    <a:fld id="{682F61F4-D883-44EA-9CA6-B25EB3839E27}" type="PERCENTAGE">
                      <a:rPr lang="en-US" baseline="0"/>
                      <a:pPr/>
                      <a:t>[]</a:t>
                    </a:fld>
                    <a:endParaRPr/>
                  </a:p>
                </c:rich>
              </c:tx>
              <c:dLblPos val="inEnd"/>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929A-4FBC-ABB1-8BF6E9ABBD09}"/>
                </c:ext>
              </c:extLst>
            </c:dLbl>
            <c:dLbl>
              <c:idx val="6"/>
              <c:tx>
                <c:rich>
                  <a:bodyPr/>
                  <a:lstStyle/>
                  <a:p>
                    <a:fld id="{50E176FA-A97C-418D-957E-12BFF21F75A9}" type="PERCENTAGE">
                      <a:rPr lang="en-US" baseline="0"/>
                      <a:pPr/>
                      <a:t>[]</a:t>
                    </a:fld>
                    <a:endParaRPr/>
                  </a:p>
                </c:rich>
              </c:tx>
              <c:dLblPos val="inEnd"/>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929A-4FBC-ABB1-8BF6E9ABBD09}"/>
                </c:ext>
              </c:extLst>
            </c:dLbl>
            <c:dLbl>
              <c:idx val="7"/>
              <c:tx>
                <c:rich>
                  <a:bodyPr/>
                  <a:lstStyle/>
                  <a:p>
                    <a:fld id="{CF44BD93-2BF5-42EF-ABC1-8B40D58D6E10}" type="PERCENTAGE">
                      <a:rPr lang="en-US" baseline="0"/>
                      <a:pPr/>
                      <a:t>[]</a:t>
                    </a:fld>
                    <a:endParaRPr/>
                  </a:p>
                </c:rich>
              </c:tx>
              <c:dLblPos val="inEnd"/>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929A-4FBC-ABB1-8BF6E9ABBD09}"/>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Dashboard!$B$13:$B$20</c:f>
              <c:strCache>
                <c:ptCount val="8"/>
                <c:pt idx="0">
                  <c:v>Proteins</c:v>
                </c:pt>
                <c:pt idx="1">
                  <c:v>Carbohydrates</c:v>
                </c:pt>
                <c:pt idx="2">
                  <c:v>Vegetables</c:v>
                </c:pt>
                <c:pt idx="3">
                  <c:v>Fruits</c:v>
                </c:pt>
                <c:pt idx="4">
                  <c:v>Drinks</c:v>
                </c:pt>
                <c:pt idx="5">
                  <c:v>Snacks</c:v>
                </c:pt>
                <c:pt idx="6">
                  <c:v>Restaurant</c:v>
                </c:pt>
                <c:pt idx="7">
                  <c:v>Others</c:v>
                </c:pt>
              </c:strCache>
            </c:strRef>
          </c:cat>
          <c:val>
            <c:numRef>
              <c:f>Dashboard!$C$13:$C$20</c:f>
              <c:numCache>
                <c:formatCode>"$"#,##0.00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F175-459D-B1DC-8FB3A15D16D1}"/>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layout>
        <c:manualLayout>
          <c:xMode val="edge"/>
          <c:yMode val="edge"/>
          <c:x val="1.7074074074074078E-2"/>
          <c:y val="0.89240222222222221"/>
          <c:w val="0.95879629629629626"/>
          <c:h val="7.937555555555556E-2"/>
        </c:manualLayout>
      </c:layout>
      <c:overlay val="0"/>
      <c:spPr>
        <a:solidFill>
          <a:schemeClr val="lt1">
            <a:alpha val="78000"/>
          </a:schemeClr>
        </a:solidFill>
        <a:ln>
          <a:noFill/>
        </a:ln>
        <a:effectLst/>
      </c:spPr>
      <c:txPr>
        <a:bodyPr rot="0" spcFirstLastPara="1" vertOverflow="ellipsis" vert="horz" wrap="square" anchor="ctr" anchorCtr="1"/>
        <a:lstStyle/>
        <a:p>
          <a:pPr>
            <a:defRPr sz="11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accent5">
        <a:lumMod val="20000"/>
        <a:lumOff val="80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Top Budget Sources This Year</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0"/>
          <c:order val="0"/>
          <c:tx>
            <c:strRef>
              <c:f>Dashboard!$C$53</c:f>
              <c:strCache>
                <c:ptCount val="1"/>
                <c:pt idx="0">
                  <c:v>Amount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Dashboard!$B$54:$B$58</c:f>
              <c:strCache>
                <c:ptCount val="5"/>
                <c:pt idx="0">
                  <c:v>Salary</c:v>
                </c:pt>
                <c:pt idx="1">
                  <c:v>Parents</c:v>
                </c:pt>
                <c:pt idx="2">
                  <c:v>Scholarship</c:v>
                </c:pt>
                <c:pt idx="3">
                  <c:v>Loan</c:v>
                </c:pt>
                <c:pt idx="4">
                  <c:v>Others</c:v>
                </c:pt>
              </c:strCache>
            </c:strRef>
          </c:cat>
          <c:val>
            <c:numRef>
              <c:f>Dashboard!$C$54:$C$58</c:f>
              <c:numCache>
                <c:formatCode>General</c:formatCode>
                <c:ptCount val="5"/>
                <c:pt idx="0">
                  <c:v>0</c:v>
                </c:pt>
                <c:pt idx="1">
                  <c:v>8</c:v>
                </c:pt>
                <c:pt idx="2">
                  <c:v>0</c:v>
                </c:pt>
                <c:pt idx="3">
                  <c:v>0</c:v>
                </c:pt>
                <c:pt idx="4">
                  <c:v>0</c:v>
                </c:pt>
              </c:numCache>
            </c:numRef>
          </c:val>
          <c:extLst>
            <c:ext xmlns:c16="http://schemas.microsoft.com/office/drawing/2014/chart" uri="{C3380CC4-5D6E-409C-BE32-E72D297353CC}">
              <c16:uniqueId val="{00000000-A85E-46AE-ABEB-A62D18344DD3}"/>
            </c:ext>
          </c:extLst>
        </c:ser>
        <c:dLbls>
          <c:dLblPos val="outEnd"/>
          <c:showLegendKey val="0"/>
          <c:showVal val="1"/>
          <c:showCatName val="0"/>
          <c:showSerName val="0"/>
          <c:showPercent val="0"/>
          <c:showBubbleSize val="0"/>
        </c:dLbls>
        <c:gapWidth val="100"/>
        <c:overlap val="-24"/>
        <c:axId val="160546608"/>
        <c:axId val="160521168"/>
      </c:barChart>
      <c:catAx>
        <c:axId val="160546608"/>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CA"/>
                  <a:t>Category / Source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60521168"/>
        <c:crosses val="autoZero"/>
        <c:auto val="1"/>
        <c:lblAlgn val="ctr"/>
        <c:lblOffset val="100"/>
        <c:noMultiLvlLbl val="0"/>
      </c:catAx>
      <c:valAx>
        <c:axId val="16052116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CA"/>
                  <a:t>Amount</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605466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5">
        <a:lumMod val="20000"/>
        <a:lumOff val="80000"/>
      </a:schemeClr>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jpe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276225</xdr:colOff>
          <xdr:row>10</xdr:row>
          <xdr:rowOff>171450</xdr:rowOff>
        </xdr:from>
        <xdr:to>
          <xdr:col>17</xdr:col>
          <xdr:colOff>581025</xdr:colOff>
          <xdr:row>15</xdr:row>
          <xdr:rowOff>47625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000-000008140000}"/>
                </a:ext>
              </a:extLst>
            </xdr:cNvPr>
            <xdr:cNvSpPr/>
          </xdr:nvSpPr>
          <xdr:spPr bwMode="auto">
            <a:xfrm>
              <a:off x="0" y="0"/>
              <a:ext cx="0" cy="0"/>
            </a:xfrm>
            <a:prstGeom prst="rect">
              <a:avLst/>
            </a:prstGeom>
            <a:noFill/>
            <a:ln w="9525">
              <a:miter lim="800000"/>
              <a:headEnd/>
              <a:tailEnd/>
            </a:ln>
          </xdr:spPr>
          <xdr:txBody>
            <a:bodyPr vertOverflow="clip" wrap="square" lIns="45720" tIns="45720" rIns="0" bIns="45720" anchor="ctr" upright="1"/>
            <a:lstStyle/>
            <a:p>
              <a:pPr algn="l" rtl="0">
                <a:defRPr sz="1000"/>
              </a:pPr>
              <a:r>
                <a:rPr lang="en-CA" sz="2200" b="0" i="0" u="none" strike="noStrike" baseline="0">
                  <a:solidFill>
                    <a:srgbClr val="000000"/>
                  </a:solidFill>
                  <a:latin typeface="Calibri"/>
                  <a:cs typeface="Calibri"/>
                </a:rPr>
                <a:t>         Add to Budget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276225</xdr:colOff>
          <xdr:row>23</xdr:row>
          <xdr:rowOff>47625</xdr:rowOff>
        </xdr:from>
        <xdr:to>
          <xdr:col>17</xdr:col>
          <xdr:colOff>571500</xdr:colOff>
          <xdr:row>27</xdr:row>
          <xdr:rowOff>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000-00000D140000}"/>
                </a:ext>
              </a:extLst>
            </xdr:cNvPr>
            <xdr:cNvSpPr/>
          </xdr:nvSpPr>
          <xdr:spPr bwMode="auto">
            <a:xfrm>
              <a:off x="0" y="0"/>
              <a:ext cx="0" cy="0"/>
            </a:xfrm>
            <a:prstGeom prst="rect">
              <a:avLst/>
            </a:prstGeom>
            <a:noFill/>
            <a:ln w="9525">
              <a:miter lim="800000"/>
              <a:headEnd/>
              <a:tailEnd/>
            </a:ln>
          </xdr:spPr>
          <xdr:txBody>
            <a:bodyPr vertOverflow="clip" wrap="square" lIns="45720" tIns="45720" rIns="0" bIns="45720" anchor="ctr" upright="1"/>
            <a:lstStyle/>
            <a:p>
              <a:pPr algn="l" rtl="0">
                <a:defRPr sz="1000"/>
              </a:pPr>
              <a:r>
                <a:rPr lang="en-CA" sz="2200" b="0" i="0" u="none" strike="noStrike" baseline="0">
                  <a:solidFill>
                    <a:srgbClr val="000000"/>
                  </a:solidFill>
                  <a:latin typeface="Calibri"/>
                  <a:cs typeface="Calibri"/>
                </a:rPr>
                <a:t>  </a:t>
              </a:r>
              <a:r>
                <a:rPr lang="en-CA" sz="2000" b="0" i="0" u="none" strike="noStrike" baseline="0">
                  <a:solidFill>
                    <a:srgbClr val="000000"/>
                  </a:solidFill>
                  <a:latin typeface="Calibri"/>
                  <a:cs typeface="Calibri"/>
                </a:rPr>
                <a:t>Add Goal Spending Limit</a:t>
              </a:r>
            </a:p>
          </xdr:txBody>
        </xdr:sp>
        <xdr:clientData fPrintsWithSheet="0"/>
      </xdr:twoCellAnchor>
    </mc:Choice>
    <mc:Fallback/>
  </mc:AlternateContent>
  <xdr:twoCellAnchor>
    <xdr:from>
      <xdr:col>6</xdr:col>
      <xdr:colOff>447675</xdr:colOff>
      <xdr:row>2</xdr:row>
      <xdr:rowOff>19051</xdr:rowOff>
    </xdr:from>
    <xdr:to>
      <xdr:col>13</xdr:col>
      <xdr:colOff>523875</xdr:colOff>
      <xdr:row>9</xdr:row>
      <xdr:rowOff>76201</xdr:rowOff>
    </xdr:to>
    <xdr:sp macro="" textlink="">
      <xdr:nvSpPr>
        <xdr:cNvPr id="2" name="TextBox 1">
          <a:extLst>
            <a:ext uri="{FF2B5EF4-FFF2-40B4-BE49-F238E27FC236}">
              <a16:creationId xmlns:a16="http://schemas.microsoft.com/office/drawing/2014/main" id="{1D3A5F18-FC1D-4212-964E-90620A776B3B}"/>
            </a:ext>
          </a:extLst>
        </xdr:cNvPr>
        <xdr:cNvSpPr txBox="1"/>
      </xdr:nvSpPr>
      <xdr:spPr>
        <a:xfrm>
          <a:off x="4105275" y="400051"/>
          <a:ext cx="4343400" cy="1390650"/>
        </a:xfrm>
        <a:prstGeom prst="rect">
          <a:avLst/>
        </a:prstGeom>
        <a:solidFill>
          <a:srgbClr val="FFFBE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800" b="1"/>
            <a:t>Welcome!</a:t>
          </a:r>
        </a:p>
        <a:p>
          <a:pPr algn="ctr"/>
          <a:r>
            <a:rPr lang="en-US" sz="2400" b="1"/>
            <a:t>Easy Food Budgeting Tool</a:t>
          </a:r>
        </a:p>
      </xdr:txBody>
    </xdr:sp>
    <xdr:clientData/>
  </xdr:twoCellAnchor>
  <mc:AlternateContent xmlns:mc="http://schemas.openxmlformats.org/markup-compatibility/2006">
    <mc:Choice xmlns:a14="http://schemas.microsoft.com/office/drawing/2010/main" Requires="a14">
      <xdr:twoCellAnchor>
        <xdr:from>
          <xdr:col>12</xdr:col>
          <xdr:colOff>266700</xdr:colOff>
          <xdr:row>17</xdr:row>
          <xdr:rowOff>38100</xdr:rowOff>
        </xdr:from>
        <xdr:to>
          <xdr:col>17</xdr:col>
          <xdr:colOff>581025</xdr:colOff>
          <xdr:row>21</xdr:row>
          <xdr:rowOff>47625</xdr:rowOff>
        </xdr:to>
        <xdr:sp macro="" textlink="">
          <xdr:nvSpPr>
            <xdr:cNvPr id="5134" name="Button 14" hidden="1">
              <a:extLst>
                <a:ext uri="{63B3BB69-23CF-44E3-9099-C40C66FF867C}">
                  <a14:compatExt spid="_x0000_s5134"/>
                </a:ext>
                <a:ext uri="{FF2B5EF4-FFF2-40B4-BE49-F238E27FC236}">
                  <a16:creationId xmlns:a16="http://schemas.microsoft.com/office/drawing/2014/main" id="{00000000-0008-0000-0000-00000E140000}"/>
                </a:ext>
              </a:extLst>
            </xdr:cNvPr>
            <xdr:cNvSpPr/>
          </xdr:nvSpPr>
          <xdr:spPr bwMode="auto">
            <a:xfrm>
              <a:off x="0" y="0"/>
              <a:ext cx="0" cy="0"/>
            </a:xfrm>
            <a:prstGeom prst="rect">
              <a:avLst/>
            </a:prstGeom>
            <a:noFill/>
            <a:ln w="9525">
              <a:miter lim="800000"/>
              <a:headEnd/>
              <a:tailEnd/>
            </a:ln>
          </xdr:spPr>
          <xdr:txBody>
            <a:bodyPr vertOverflow="clip" wrap="square" lIns="45720" tIns="45720" rIns="0" bIns="45720" anchor="ctr" upright="1"/>
            <a:lstStyle/>
            <a:p>
              <a:pPr algn="l" rtl="0">
                <a:defRPr sz="1000"/>
              </a:pPr>
              <a:r>
                <a:rPr lang="en-CA" sz="2200" b="0" i="0" u="none" strike="noStrike" baseline="0">
                  <a:solidFill>
                    <a:srgbClr val="000000"/>
                  </a:solidFill>
                  <a:latin typeface="Calibri"/>
                  <a:cs typeface="Calibri"/>
                </a:rPr>
                <a:t>           Add Expense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285750</xdr:colOff>
          <xdr:row>10</xdr:row>
          <xdr:rowOff>161925</xdr:rowOff>
        </xdr:from>
        <xdr:to>
          <xdr:col>9</xdr:col>
          <xdr:colOff>495300</xdr:colOff>
          <xdr:row>15</xdr:row>
          <xdr:rowOff>38100</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0000-00000F140000}"/>
                </a:ext>
              </a:extLst>
            </xdr:cNvPr>
            <xdr:cNvSpPr/>
          </xdr:nvSpPr>
          <xdr:spPr bwMode="auto">
            <a:xfrm>
              <a:off x="0" y="0"/>
              <a:ext cx="0" cy="0"/>
            </a:xfrm>
            <a:prstGeom prst="rect">
              <a:avLst/>
            </a:prstGeom>
            <a:noFill/>
            <a:ln w="9525">
              <a:miter lim="800000"/>
              <a:headEnd/>
              <a:tailEnd/>
            </a:ln>
          </xdr:spPr>
          <xdr:txBody>
            <a:bodyPr vertOverflow="clip" wrap="square" lIns="45720" tIns="45720" rIns="0" bIns="45720" anchor="ctr" upright="1"/>
            <a:lstStyle/>
            <a:p>
              <a:pPr algn="l" rtl="0">
                <a:defRPr sz="1000"/>
              </a:pPr>
              <a:r>
                <a:rPr lang="en-CA" sz="2200" b="0" i="0" u="none" strike="noStrike" baseline="0">
                  <a:solidFill>
                    <a:srgbClr val="000000"/>
                  </a:solidFill>
                  <a:latin typeface="Calibri"/>
                  <a:cs typeface="Calibri"/>
                </a:rPr>
                <a:t>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276225</xdr:colOff>
          <xdr:row>17</xdr:row>
          <xdr:rowOff>9525</xdr:rowOff>
        </xdr:from>
        <xdr:to>
          <xdr:col>9</xdr:col>
          <xdr:colOff>495300</xdr:colOff>
          <xdr:row>21</xdr:row>
          <xdr:rowOff>19050</xdr:rowOff>
        </xdr:to>
        <xdr:sp macro="" textlink="">
          <xdr:nvSpPr>
            <xdr:cNvPr id="5136" name="Button 16" hidden="1">
              <a:extLst>
                <a:ext uri="{63B3BB69-23CF-44E3-9099-C40C66FF867C}">
                  <a14:compatExt spid="_x0000_s5136"/>
                </a:ext>
                <a:ext uri="{FF2B5EF4-FFF2-40B4-BE49-F238E27FC236}">
                  <a16:creationId xmlns:a16="http://schemas.microsoft.com/office/drawing/2014/main" id="{00000000-0008-0000-0000-000010140000}"/>
                </a:ext>
              </a:extLst>
            </xdr:cNvPr>
            <xdr:cNvSpPr/>
          </xdr:nvSpPr>
          <xdr:spPr bwMode="auto">
            <a:xfrm>
              <a:off x="0" y="0"/>
              <a:ext cx="0" cy="0"/>
            </a:xfrm>
            <a:prstGeom prst="rect">
              <a:avLst/>
            </a:prstGeom>
            <a:noFill/>
            <a:ln w="9525">
              <a:miter lim="800000"/>
              <a:headEnd/>
              <a:tailEnd/>
            </a:ln>
          </xdr:spPr>
          <xdr:txBody>
            <a:bodyPr vertOverflow="clip" wrap="square" lIns="45720" tIns="45720" rIns="0" bIns="45720" anchor="ctr" upright="1"/>
            <a:lstStyle/>
            <a:p>
              <a:pPr algn="l" rtl="0">
                <a:defRPr sz="1000"/>
              </a:pPr>
              <a:r>
                <a:rPr lang="en-CA" sz="2200" b="0" i="0" u="none" strike="noStrike" baseline="0">
                  <a:solidFill>
                    <a:srgbClr val="000000"/>
                  </a:solidFill>
                  <a:latin typeface="Calibri"/>
                  <a:cs typeface="Calibri"/>
                </a:rPr>
                <a:t>      Financial Advice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266700</xdr:colOff>
          <xdr:row>23</xdr:row>
          <xdr:rowOff>0</xdr:rowOff>
        </xdr:from>
        <xdr:to>
          <xdr:col>9</xdr:col>
          <xdr:colOff>495300</xdr:colOff>
          <xdr:row>26</xdr:row>
          <xdr:rowOff>171450</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000-000011140000}"/>
                </a:ext>
              </a:extLst>
            </xdr:cNvPr>
            <xdr:cNvSpPr/>
          </xdr:nvSpPr>
          <xdr:spPr bwMode="auto">
            <a:xfrm>
              <a:off x="0" y="0"/>
              <a:ext cx="0" cy="0"/>
            </a:xfrm>
            <a:prstGeom prst="rect">
              <a:avLst/>
            </a:prstGeom>
            <a:noFill/>
            <a:ln w="9525">
              <a:miter lim="800000"/>
              <a:headEnd/>
              <a:tailEnd/>
            </a:ln>
          </xdr:spPr>
          <xdr:txBody>
            <a:bodyPr vertOverflow="clip" wrap="square" lIns="45720" tIns="41148" rIns="0" bIns="41148" anchor="ctr" upright="1"/>
            <a:lstStyle/>
            <a:p>
              <a:pPr algn="l" rtl="0">
                <a:defRPr sz="1000"/>
              </a:pPr>
              <a:r>
                <a:rPr lang="en-CA" sz="2000" b="0" i="0" u="none" strike="noStrike" baseline="0">
                  <a:solidFill>
                    <a:srgbClr val="000000"/>
                  </a:solidFill>
                  <a:latin typeface="Calibri"/>
                  <a:cs typeface="Calibri"/>
                </a:rPr>
                <a:t>     Review Transactions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2</xdr:row>
          <xdr:rowOff>57150</xdr:rowOff>
        </xdr:from>
        <xdr:to>
          <xdr:col>4</xdr:col>
          <xdr:colOff>95250</xdr:colOff>
          <xdr:row>8</xdr:row>
          <xdr:rowOff>85725</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0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endParaRPr lang="en-CA" sz="1600" b="0" i="0" u="none" strike="noStrike" baseline="0">
                <a:solidFill>
                  <a:srgbClr val="000000"/>
                </a:solidFill>
                <a:latin typeface="Calibri"/>
                <a:cs typeface="Calibri"/>
              </a:endParaRPr>
            </a:p>
            <a:p>
              <a:pPr algn="ctr" rtl="0">
                <a:defRPr sz="1000"/>
              </a:pPr>
              <a:endParaRPr lang="en-CA" sz="1600" b="0" i="0" u="none" strike="noStrike" baseline="0">
                <a:solidFill>
                  <a:srgbClr val="000000"/>
                </a:solidFill>
                <a:latin typeface="Calibri"/>
                <a:cs typeface="Calibri"/>
              </a:endParaRPr>
            </a:p>
            <a:p>
              <a:pPr algn="ctr" rtl="0">
                <a:defRPr sz="1000"/>
              </a:pPr>
              <a:r>
                <a:rPr lang="en-CA" sz="1600" b="0" i="0" u="none" strike="noStrike" baseline="0">
                  <a:solidFill>
                    <a:srgbClr val="000000"/>
                  </a:solidFill>
                  <a:latin typeface="Calibri"/>
                  <a:cs typeface="Calibri"/>
                </a:rPr>
                <a:t>Instructions</a:t>
              </a:r>
            </a:p>
          </xdr:txBody>
        </xdr:sp>
        <xdr:clientData fPrintsWithSheet="0"/>
      </xdr:twoCellAnchor>
    </mc:Choice>
    <mc:Fallback/>
  </mc:AlternateContent>
  <xdr:twoCellAnchor editAs="oneCell">
    <xdr:from>
      <xdr:col>8</xdr:col>
      <xdr:colOff>133350</xdr:colOff>
      <xdr:row>11</xdr:row>
      <xdr:rowOff>133350</xdr:rowOff>
    </xdr:from>
    <xdr:to>
      <xdr:col>9</xdr:col>
      <xdr:colOff>38100</xdr:colOff>
      <xdr:row>14</xdr:row>
      <xdr:rowOff>76200</xdr:rowOff>
    </xdr:to>
    <xdr:pic>
      <xdr:nvPicPr>
        <xdr:cNvPr id="3" name="Picture 2" descr="Graph - Free business icons">
          <a:extLst>
            <a:ext uri="{FF2B5EF4-FFF2-40B4-BE49-F238E27FC236}">
              <a16:creationId xmlns:a16="http://schemas.microsoft.com/office/drawing/2014/main" id="{99428802-3047-0050-F82C-BD90DC11F61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10150" y="2228850"/>
          <a:ext cx="51435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304800</xdr:colOff>
      <xdr:row>11</xdr:row>
      <xdr:rowOff>142874</xdr:rowOff>
    </xdr:from>
    <xdr:to>
      <xdr:col>17</xdr:col>
      <xdr:colOff>219075</xdr:colOff>
      <xdr:row>14</xdr:row>
      <xdr:rowOff>95249</xdr:rowOff>
    </xdr:to>
    <xdr:pic>
      <xdr:nvPicPr>
        <xdr:cNvPr id="4" name="Picture 3" descr="Dinner Tonight: Budget Friendly, Saturday: Week of November 24, 2025 ...">
          <a:extLst>
            <a:ext uri="{FF2B5EF4-FFF2-40B4-BE49-F238E27FC236}">
              <a16:creationId xmlns:a16="http://schemas.microsoft.com/office/drawing/2014/main" id="{B64CE227-B73C-CCA9-0F05-76E80B8D566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058400" y="2238374"/>
          <a:ext cx="52387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314325</xdr:colOff>
      <xdr:row>17</xdr:row>
      <xdr:rowOff>123824</xdr:rowOff>
    </xdr:from>
    <xdr:to>
      <xdr:col>9</xdr:col>
      <xdr:colOff>247650</xdr:colOff>
      <xdr:row>20</xdr:row>
      <xdr:rowOff>95249</xdr:rowOff>
    </xdr:to>
    <xdr:pic>
      <xdr:nvPicPr>
        <xdr:cNvPr id="5" name="Picture 4" descr="Advisor Generic color lineal-color icon">
          <a:extLst>
            <a:ext uri="{FF2B5EF4-FFF2-40B4-BE49-F238E27FC236}">
              <a16:creationId xmlns:a16="http://schemas.microsoft.com/office/drawing/2014/main" id="{CE30BD5B-CDA6-8934-CC94-5868C7315A8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191125" y="3362324"/>
          <a:ext cx="542925" cy="542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304800</xdr:colOff>
      <xdr:row>17</xdr:row>
      <xdr:rowOff>161924</xdr:rowOff>
    </xdr:from>
    <xdr:to>
      <xdr:col>17</xdr:col>
      <xdr:colOff>219075</xdr:colOff>
      <xdr:row>20</xdr:row>
      <xdr:rowOff>114299</xdr:rowOff>
    </xdr:to>
    <xdr:pic>
      <xdr:nvPicPr>
        <xdr:cNvPr id="6" name="Picture 5" descr="Expense Icon Png Business, Expenses, Finance, Financial, General,">
          <a:extLst>
            <a:ext uri="{FF2B5EF4-FFF2-40B4-BE49-F238E27FC236}">
              <a16:creationId xmlns:a16="http://schemas.microsoft.com/office/drawing/2014/main" id="{4EBE1A7A-897E-F248-0AA1-08A239ABA339}"/>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058400" y="3400424"/>
          <a:ext cx="52387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47627</xdr:colOff>
      <xdr:row>24</xdr:row>
      <xdr:rowOff>0</xdr:rowOff>
    </xdr:from>
    <xdr:to>
      <xdr:col>17</xdr:col>
      <xdr:colOff>495301</xdr:colOff>
      <xdr:row>26</xdr:row>
      <xdr:rowOff>66674</xdr:rowOff>
    </xdr:to>
    <xdr:pic>
      <xdr:nvPicPr>
        <xdr:cNvPr id="7" name="Picture 6" descr="Goal Icon Png Aim, Business, Work, Target, Goal Icon">
          <a:extLst>
            <a:ext uri="{FF2B5EF4-FFF2-40B4-BE49-F238E27FC236}">
              <a16:creationId xmlns:a16="http://schemas.microsoft.com/office/drawing/2014/main" id="{0298F5CE-6F14-E53D-5621-82F2DA532054}"/>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0410827" y="4572000"/>
          <a:ext cx="447674" cy="4476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419101</xdr:colOff>
      <xdr:row>23</xdr:row>
      <xdr:rowOff>114300</xdr:rowOff>
    </xdr:from>
    <xdr:to>
      <xdr:col>9</xdr:col>
      <xdr:colOff>314326</xdr:colOff>
      <xdr:row>26</xdr:row>
      <xdr:rowOff>47625</xdr:rowOff>
    </xdr:to>
    <xdr:pic>
      <xdr:nvPicPr>
        <xdr:cNvPr id="8" name="Picture 7" descr="Smartphone Generic Blue icon">
          <a:extLst>
            <a:ext uri="{FF2B5EF4-FFF2-40B4-BE49-F238E27FC236}">
              <a16:creationId xmlns:a16="http://schemas.microsoft.com/office/drawing/2014/main" id="{D23865B6-5D3E-F854-8B56-445350D27AC6}"/>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5295901" y="4495800"/>
          <a:ext cx="504825"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428626</xdr:colOff>
      <xdr:row>2</xdr:row>
      <xdr:rowOff>28575</xdr:rowOff>
    </xdr:from>
    <xdr:to>
      <xdr:col>15</xdr:col>
      <xdr:colOff>590550</xdr:colOff>
      <xdr:row>9</xdr:row>
      <xdr:rowOff>76199</xdr:rowOff>
    </xdr:to>
    <xdr:pic>
      <xdr:nvPicPr>
        <xdr:cNvPr id="9" name="Picture 8" descr="Calorie Calculator Vector Icon Style 22291953 Vector Art at Vecteezy">
          <a:extLst>
            <a:ext uri="{FF2B5EF4-FFF2-40B4-BE49-F238E27FC236}">
              <a16:creationId xmlns:a16="http://schemas.microsoft.com/office/drawing/2014/main" id="{04836F70-809C-9390-7907-A75B7EDAE2BF}"/>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8353426" y="409575"/>
          <a:ext cx="1381124" cy="1381124"/>
        </a:xfrm>
        <a:prstGeom prst="rect">
          <a:avLst/>
        </a:prstGeom>
        <a:solidFill>
          <a:schemeClr val="accent5">
            <a:lumMod val="20000"/>
            <a:lumOff val="80000"/>
          </a:schemeClr>
        </a:solidFill>
      </xdr:spPr>
    </xdr:pic>
    <xdr:clientData/>
  </xdr:twoCellAnchor>
  <xdr:twoCellAnchor editAs="oneCell">
    <xdr:from>
      <xdr:col>2</xdr:col>
      <xdr:colOff>428626</xdr:colOff>
      <xdr:row>3</xdr:row>
      <xdr:rowOff>85724</xdr:rowOff>
    </xdr:from>
    <xdr:to>
      <xdr:col>3</xdr:col>
      <xdr:colOff>276225</xdr:colOff>
      <xdr:row>5</xdr:row>
      <xdr:rowOff>161923</xdr:rowOff>
    </xdr:to>
    <xdr:pic>
      <xdr:nvPicPr>
        <xdr:cNvPr id="10" name="Picture 9" descr="Book, guide, instructions, manual icon - Download on Iconfinder">
          <a:extLst>
            <a:ext uri="{FF2B5EF4-FFF2-40B4-BE49-F238E27FC236}">
              <a16:creationId xmlns:a16="http://schemas.microsoft.com/office/drawing/2014/main" id="{7783A792-1365-345E-6BC6-E710B87854CD}"/>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647826" y="657224"/>
          <a:ext cx="457199"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4</xdr:col>
      <xdr:colOff>161924</xdr:colOff>
      <xdr:row>25</xdr:row>
      <xdr:rowOff>190499</xdr:rowOff>
    </xdr:from>
    <xdr:ext cx="6429376" cy="3457575"/>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4</xdr:col>
      <xdr:colOff>152399</xdr:colOff>
      <xdr:row>6</xdr:row>
      <xdr:rowOff>104775</xdr:rowOff>
    </xdr:from>
    <xdr:ext cx="6429375" cy="3371850"/>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mc:AlternateContent xmlns:mc="http://schemas.openxmlformats.org/markup-compatibility/2006">
    <mc:Choice xmlns:a14="http://schemas.microsoft.com/office/drawing/2010/main" Requires="a14">
      <xdr:twoCellAnchor>
        <xdr:from>
          <xdr:col>1</xdr:col>
          <xdr:colOff>9525</xdr:colOff>
          <xdr:row>1</xdr:row>
          <xdr:rowOff>28575</xdr:rowOff>
        </xdr:from>
        <xdr:to>
          <xdr:col>2</xdr:col>
          <xdr:colOff>742950</xdr:colOff>
          <xdr:row>4</xdr:row>
          <xdr:rowOff>9525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400" b="0" i="0" u="none" strike="noStrike" baseline="0">
                  <a:solidFill>
                    <a:srgbClr val="000000"/>
                  </a:solidFill>
                  <a:latin typeface="Calibri"/>
                  <a:cs typeface="Calibri"/>
                </a:rPr>
                <a:t>&lt;-  Back to Home</a:t>
              </a:r>
            </a:p>
          </xdr:txBody>
        </xdr:sp>
        <xdr:clientData fPrintsWithSheet="0"/>
      </xdr:twoCellAnchor>
    </mc:Choice>
    <mc:Fallback/>
  </mc:AlternateContent>
  <xdr:twoCellAnchor>
    <xdr:from>
      <xdr:col>6</xdr:col>
      <xdr:colOff>57151</xdr:colOff>
      <xdr:row>0</xdr:row>
      <xdr:rowOff>152400</xdr:rowOff>
    </xdr:from>
    <xdr:to>
      <xdr:col>10</xdr:col>
      <xdr:colOff>504826</xdr:colOff>
      <xdr:row>5</xdr:row>
      <xdr:rowOff>28575</xdr:rowOff>
    </xdr:to>
    <xdr:sp macro="" textlink="">
      <xdr:nvSpPr>
        <xdr:cNvPr id="5" name="TextBox 4">
          <a:extLst>
            <a:ext uri="{FF2B5EF4-FFF2-40B4-BE49-F238E27FC236}">
              <a16:creationId xmlns:a16="http://schemas.microsoft.com/office/drawing/2014/main" id="{14873714-12A2-5746-A99E-F35915A7CF75}"/>
            </a:ext>
          </a:extLst>
        </xdr:cNvPr>
        <xdr:cNvSpPr txBox="1"/>
      </xdr:nvSpPr>
      <xdr:spPr>
        <a:xfrm>
          <a:off x="4743451" y="152400"/>
          <a:ext cx="2971800" cy="828675"/>
        </a:xfrm>
        <a:prstGeom prst="rect">
          <a:avLst/>
        </a:prstGeom>
        <a:solidFill>
          <a:srgbClr val="FFFBE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4000"/>
            <a:t>DashBoard</a:t>
          </a:r>
        </a:p>
      </xdr:txBody>
    </xdr:sp>
    <xdr:clientData/>
  </xdr:twoCellAnchor>
  <xdr:twoCellAnchor>
    <xdr:from>
      <xdr:col>4</xdr:col>
      <xdr:colOff>171449</xdr:colOff>
      <xdr:row>46</xdr:row>
      <xdr:rowOff>61911</xdr:rowOff>
    </xdr:from>
    <xdr:to>
      <xdr:col>14</xdr:col>
      <xdr:colOff>333374</xdr:colOff>
      <xdr:row>63</xdr:row>
      <xdr:rowOff>123825</xdr:rowOff>
    </xdr:to>
    <xdr:graphicFrame macro="">
      <xdr:nvGraphicFramePr>
        <xdr:cNvPr id="6" name="Chart 5">
          <a:extLst>
            <a:ext uri="{FF2B5EF4-FFF2-40B4-BE49-F238E27FC236}">
              <a16:creationId xmlns:a16="http://schemas.microsoft.com/office/drawing/2014/main" id="{B647BFD8-6E1C-2734-D0BB-4FE57F4A19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104775</xdr:colOff>
      <xdr:row>2</xdr:row>
      <xdr:rowOff>57150</xdr:rowOff>
    </xdr:from>
    <xdr:to>
      <xdr:col>8</xdr:col>
      <xdr:colOff>266700</xdr:colOff>
      <xdr:row>5</xdr:row>
      <xdr:rowOff>123825</xdr:rowOff>
    </xdr:to>
    <xdr:sp macro="" textlink="">
      <xdr:nvSpPr>
        <xdr:cNvPr id="2" name="TextBox 1">
          <a:extLst>
            <a:ext uri="{FF2B5EF4-FFF2-40B4-BE49-F238E27FC236}">
              <a16:creationId xmlns:a16="http://schemas.microsoft.com/office/drawing/2014/main" id="{FEB13767-A59E-714A-01FE-BCE9DF17F969}"/>
            </a:ext>
          </a:extLst>
        </xdr:cNvPr>
        <xdr:cNvSpPr txBox="1"/>
      </xdr:nvSpPr>
      <xdr:spPr>
        <a:xfrm>
          <a:off x="4267200" y="428625"/>
          <a:ext cx="4848225" cy="1114425"/>
        </a:xfrm>
        <a:prstGeom prst="rect">
          <a:avLst/>
        </a:prstGeom>
        <a:solidFill>
          <a:srgbClr val="FFFBE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3200"/>
            <a:t>Financial Advice </a:t>
          </a:r>
        </a:p>
        <a:p>
          <a:pPr algn="ctr"/>
          <a:r>
            <a:rPr lang="en-CA" sz="3200"/>
            <a:t>for</a:t>
          </a:r>
          <a:r>
            <a:rPr lang="en-CA" sz="3200" baseline="0"/>
            <a:t> this Month</a:t>
          </a:r>
          <a:endParaRPr lang="en-CA" sz="3200"/>
        </a:p>
      </xdr:txBody>
    </xdr:sp>
    <xdr:clientData/>
  </xdr:twoCellAnchor>
  <mc:AlternateContent xmlns:mc="http://schemas.openxmlformats.org/markup-compatibility/2006">
    <mc:Choice xmlns:a14="http://schemas.microsoft.com/office/drawing/2010/main" Requires="a14">
      <xdr:twoCellAnchor>
        <xdr:from>
          <xdr:col>0</xdr:col>
          <xdr:colOff>542925</xdr:colOff>
          <xdr:row>1</xdr:row>
          <xdr:rowOff>257175</xdr:rowOff>
        </xdr:from>
        <xdr:to>
          <xdr:col>2</xdr:col>
          <xdr:colOff>104775</xdr:colOff>
          <xdr:row>3</xdr:row>
          <xdr:rowOff>219075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400" b="0" i="0" u="none" strike="noStrike" baseline="0">
                  <a:solidFill>
                    <a:srgbClr val="000000"/>
                  </a:solidFill>
                  <a:latin typeface="Calibri"/>
                  <a:cs typeface="Calibri"/>
                </a:rPr>
                <a:t>&lt;-  Back to Home</a:t>
              </a:r>
            </a:p>
          </xdr:txBody>
        </xdr:sp>
        <xdr:clientData fPrintsWithSheet="0"/>
      </xdr:twoCellAnchor>
    </mc:Choice>
    <mc:Fallback/>
  </mc:AlternateContent>
  <xdr:twoCellAnchor>
    <xdr:from>
      <xdr:col>0</xdr:col>
      <xdr:colOff>1019175</xdr:colOff>
      <xdr:row>11</xdr:row>
      <xdr:rowOff>0</xdr:rowOff>
    </xdr:from>
    <xdr:to>
      <xdr:col>14</xdr:col>
      <xdr:colOff>542925</xdr:colOff>
      <xdr:row>11</xdr:row>
      <xdr:rowOff>0</xdr:rowOff>
    </xdr:to>
    <xdr:cxnSp macro="">
      <xdr:nvCxnSpPr>
        <xdr:cNvPr id="4" name="Straight Connector 3">
          <a:extLst>
            <a:ext uri="{FF2B5EF4-FFF2-40B4-BE49-F238E27FC236}">
              <a16:creationId xmlns:a16="http://schemas.microsoft.com/office/drawing/2014/main" id="{9AB4ED98-D14C-75CD-C219-6642F6284C54}"/>
            </a:ext>
          </a:extLst>
        </xdr:cNvPr>
        <xdr:cNvCxnSpPr/>
      </xdr:nvCxnSpPr>
      <xdr:spPr>
        <a:xfrm>
          <a:off x="1019175" y="3505200"/>
          <a:ext cx="104679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38100</xdr:colOff>
      <xdr:row>23</xdr:row>
      <xdr:rowOff>352425</xdr:rowOff>
    </xdr:from>
    <xdr:to>
      <xdr:col>15</xdr:col>
      <xdr:colOff>0</xdr:colOff>
      <xdr:row>23</xdr:row>
      <xdr:rowOff>352425</xdr:rowOff>
    </xdr:to>
    <xdr:cxnSp macro="">
      <xdr:nvCxnSpPr>
        <xdr:cNvPr id="5" name="Straight Connector 4">
          <a:extLst>
            <a:ext uri="{FF2B5EF4-FFF2-40B4-BE49-F238E27FC236}">
              <a16:creationId xmlns:a16="http://schemas.microsoft.com/office/drawing/2014/main" id="{8A7C72CE-C606-440A-992C-A73D03185AA6}"/>
            </a:ext>
          </a:extLst>
        </xdr:cNvPr>
        <xdr:cNvCxnSpPr/>
      </xdr:nvCxnSpPr>
      <xdr:spPr>
        <a:xfrm>
          <a:off x="1066800" y="7048500"/>
          <a:ext cx="104679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9</xdr:col>
      <xdr:colOff>333376</xdr:colOff>
      <xdr:row>13</xdr:row>
      <xdr:rowOff>323849</xdr:rowOff>
    </xdr:from>
    <xdr:to>
      <xdr:col>10</xdr:col>
      <xdr:colOff>200026</xdr:colOff>
      <xdr:row>15</xdr:row>
      <xdr:rowOff>66674</xdr:rowOff>
    </xdr:to>
    <xdr:pic>
      <xdr:nvPicPr>
        <xdr:cNvPr id="6" name="Picture 5" descr="Budget Icon Png at GetDrawings | Free download">
          <a:extLst>
            <a:ext uri="{FF2B5EF4-FFF2-40B4-BE49-F238E27FC236}">
              <a16:creationId xmlns:a16="http://schemas.microsoft.com/office/drawing/2014/main" id="{B07F0396-CFDB-81B2-DE30-9F7F346AD4C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772651" y="3952874"/>
          <a:ext cx="457200"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1000126</xdr:colOff>
      <xdr:row>5</xdr:row>
      <xdr:rowOff>590549</xdr:rowOff>
    </xdr:from>
    <xdr:to>
      <xdr:col>6</xdr:col>
      <xdr:colOff>504825</xdr:colOff>
      <xdr:row>7</xdr:row>
      <xdr:rowOff>380998</xdr:rowOff>
    </xdr:to>
    <xdr:pic>
      <xdr:nvPicPr>
        <xdr:cNvPr id="7" name="Picture 6" descr="light bulb doodle icon 16458249 PNG">
          <a:extLst>
            <a:ext uri="{FF2B5EF4-FFF2-40B4-BE49-F238E27FC236}">
              <a16:creationId xmlns:a16="http://schemas.microsoft.com/office/drawing/2014/main" id="{1B9C619F-0A19-1417-4D05-9A4947FB0B4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572376" y="2009774"/>
          <a:ext cx="600074" cy="6000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314326</xdr:colOff>
      <xdr:row>25</xdr:row>
      <xdr:rowOff>142875</xdr:rowOff>
    </xdr:from>
    <xdr:to>
      <xdr:col>10</xdr:col>
      <xdr:colOff>285750</xdr:colOff>
      <xdr:row>27</xdr:row>
      <xdr:rowOff>9524</xdr:rowOff>
    </xdr:to>
    <xdr:pic>
      <xdr:nvPicPr>
        <xdr:cNvPr id="8" name="Picture 7" descr="Goal - Free weapons icons">
          <a:extLst>
            <a:ext uri="{FF2B5EF4-FFF2-40B4-BE49-F238E27FC236}">
              <a16:creationId xmlns:a16="http://schemas.microsoft.com/office/drawing/2014/main" id="{5ED43BD3-3D86-5BA0-46D7-03E86DC6BC3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753601" y="7229475"/>
          <a:ext cx="561974" cy="5619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1133475</xdr:colOff>
          <xdr:row>22</xdr:row>
          <xdr:rowOff>114300</xdr:rowOff>
        </xdr:from>
        <xdr:to>
          <xdr:col>3</xdr:col>
          <xdr:colOff>133350</xdr:colOff>
          <xdr:row>24</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 Transactions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504825</xdr:colOff>
          <xdr:row>5</xdr:row>
          <xdr:rowOff>76200</xdr:rowOff>
        </xdr:from>
        <xdr:to>
          <xdr:col>3</xdr:col>
          <xdr:colOff>123825</xdr:colOff>
          <xdr:row>8</xdr:row>
          <xdr:rowOff>161925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400" b="0" i="0" u="none" strike="noStrike" baseline="0">
                  <a:solidFill>
                    <a:srgbClr val="000000"/>
                  </a:solidFill>
                  <a:latin typeface="Calibri"/>
                  <a:cs typeface="Calibri"/>
                </a:rPr>
                <a:t>Review Past Budgets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514350</xdr:colOff>
          <xdr:row>9</xdr:row>
          <xdr:rowOff>95250</xdr:rowOff>
        </xdr:from>
        <xdr:to>
          <xdr:col>3</xdr:col>
          <xdr:colOff>123825</xdr:colOff>
          <xdr:row>13</xdr:row>
          <xdr:rowOff>38100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400" b="0" i="0" u="none" strike="noStrike" baseline="0">
                  <a:solidFill>
                    <a:srgbClr val="000000"/>
                  </a:solidFill>
                  <a:latin typeface="Calibri"/>
                  <a:cs typeface="Calibri"/>
                </a:rPr>
                <a:t>Review Past Expenses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685800</xdr:colOff>
          <xdr:row>16</xdr:row>
          <xdr:rowOff>95250</xdr:rowOff>
        </xdr:from>
        <xdr:to>
          <xdr:col>3</xdr:col>
          <xdr:colOff>123825</xdr:colOff>
          <xdr:row>19</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400" b="0" i="0" u="none" strike="noStrike" baseline="0">
                  <a:solidFill>
                    <a:srgbClr val="000000"/>
                  </a:solidFill>
                  <a:latin typeface="Calibri"/>
                  <a:cs typeface="Calibri"/>
                </a:rPr>
                <a:t>&lt;-  Back to Home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190500</xdr:colOff>
          <xdr:row>3</xdr:row>
          <xdr:rowOff>171450</xdr:rowOff>
        </xdr:from>
        <xdr:to>
          <xdr:col>9</xdr:col>
          <xdr:colOff>238125</xdr:colOff>
          <xdr:row>7</xdr:row>
          <xdr:rowOff>47625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4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 All Transactions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238125</xdr:colOff>
          <xdr:row>2</xdr:row>
          <xdr:rowOff>180975</xdr:rowOff>
        </xdr:from>
        <xdr:to>
          <xdr:col>9</xdr:col>
          <xdr:colOff>285750</xdr:colOff>
          <xdr:row>7</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 All Transactions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561975</xdr:colOff>
          <xdr:row>3</xdr:row>
          <xdr:rowOff>171450</xdr:rowOff>
        </xdr:from>
        <xdr:to>
          <xdr:col>11</xdr:col>
          <xdr:colOff>19050</xdr:colOff>
          <xdr:row>7</xdr:row>
          <xdr:rowOff>47625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 All Goals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1</xdr:row>
          <xdr:rowOff>123825</xdr:rowOff>
        </xdr:from>
        <xdr:to>
          <xdr:col>4</xdr:col>
          <xdr:colOff>0</xdr:colOff>
          <xdr:row>4</xdr:row>
          <xdr:rowOff>104775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7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400" b="0" i="0" u="none" strike="noStrike" baseline="0">
                  <a:solidFill>
                    <a:srgbClr val="000000"/>
                  </a:solidFill>
                  <a:latin typeface="Calibri"/>
                  <a:cs typeface="Calibri"/>
                </a:rPr>
                <a:t>&lt;-  Back to Home</a:t>
              </a:r>
            </a:p>
          </xdr:txBody>
        </xdr:sp>
        <xdr:clientData fPrintsWithSheet="0"/>
      </xdr:twoCellAnchor>
    </mc:Choice>
    <mc:Fallback/>
  </mc:AlternateContent>
  <xdr:twoCellAnchor>
    <xdr:from>
      <xdr:col>6</xdr:col>
      <xdr:colOff>0</xdr:colOff>
      <xdr:row>2</xdr:row>
      <xdr:rowOff>0</xdr:rowOff>
    </xdr:from>
    <xdr:to>
      <xdr:col>10</xdr:col>
      <xdr:colOff>533400</xdr:colOff>
      <xdr:row>6</xdr:row>
      <xdr:rowOff>66675</xdr:rowOff>
    </xdr:to>
    <xdr:sp macro="" textlink="">
      <xdr:nvSpPr>
        <xdr:cNvPr id="2" name="TextBox 1">
          <a:extLst>
            <a:ext uri="{FF2B5EF4-FFF2-40B4-BE49-F238E27FC236}">
              <a16:creationId xmlns:a16="http://schemas.microsoft.com/office/drawing/2014/main" id="{011B1E43-0B21-40D6-AFF6-5AD5CBBA92DF}"/>
            </a:ext>
          </a:extLst>
        </xdr:cNvPr>
        <xdr:cNvSpPr txBox="1"/>
      </xdr:nvSpPr>
      <xdr:spPr>
        <a:xfrm>
          <a:off x="3657600" y="381000"/>
          <a:ext cx="2971800" cy="828675"/>
        </a:xfrm>
        <a:prstGeom prst="rect">
          <a:avLst/>
        </a:prstGeom>
        <a:solidFill>
          <a:srgbClr val="FFFBE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4000"/>
            <a:t>Instructions</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88DFE0-9D25-4625-9A1B-44ECA55489C8}" name="Table8" displayName="Table8" ref="B12:C20" totalsRowShown="0" headerRowDxfId="65">
  <autoFilter ref="B12:C20" xr:uid="{7E88DFE0-9D25-4625-9A1B-44ECA55489C8}"/>
  <tableColumns count="2">
    <tableColumn id="1" xr3:uid="{8421EDA3-4E36-4F4B-AFD8-F9E5BB8ABA0A}" name="Category" dataDxfId="64"/>
    <tableColumn id="2" xr3:uid="{CC4913E2-6FD1-471E-8C23-32F5A48C9081}" name="Amount" dataDxfId="63">
      <calculatedColumnFormula>SUMIFS(Expenses!$D$2:$D$1046,Expenses!$C$2:$C$1046,$B13,Expenses!$A$2:$A$1046,"&gt;=" &amp; DATE(YEAR(TODAY()),1,1),Expenses!$A$2:$A$1046,"&lt;=" &amp; DATE(YEAR(TODAY()),12,31))</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2480F6B-6738-4EAD-B58A-85E748795CEA}" name="Table9" displayName="Table9" ref="B30:C42" totalsRowShown="0" headerRowDxfId="62">
  <autoFilter ref="B30:C42" xr:uid="{62480F6B-6738-4EAD-B58A-85E748795CEA}"/>
  <tableColumns count="2">
    <tableColumn id="1" xr3:uid="{7E94C60F-F4CE-46E8-816D-3364F3708248}" name="Month" dataDxfId="61"/>
    <tableColumn id="2" xr3:uid="{5506E42A-301D-489E-A35D-EB844E6AA971}" name="Amount" dataDxfId="60"/>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28E5D35-82E9-481C-A615-C8FE909E8230}" name="Table10" displayName="Table10" ref="B53:C58" totalsRowShown="0" headerRowDxfId="59" dataDxfId="58">
  <autoFilter ref="B53:C58" xr:uid="{928E5D35-82E9-481C-A615-C8FE909E8230}"/>
  <tableColumns count="2">
    <tableColumn id="1" xr3:uid="{A3CE8E16-F006-46BD-A92C-58CF08471069}" name="Category" dataDxfId="57"/>
    <tableColumn id="2" xr3:uid="{91BC7927-287E-4092-A585-2674E27EA465}" name="Amount" dataDxfId="56">
      <calculatedColumnFormula>SUMIFS('Food Budget'!$D$2:$D$1044,'Food Budget'!$C$2:$C$1044,B54,'Food Budget'!$A$2:$A$1044,"&gt;=" &amp; DATE(YEAR(TODAY()),1,1),'Food Budget'!$A$2:$A$1044,"&lt;=" &amp; DATE(YEAR(TODAY()),12,31))</calculatedColumnFormula>
    </tableColum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CC2FFEC-5D01-4C21-8867-2FC6F7DBC7C9}" name="Table5" displayName="Table5" ref="B14:F22" totalsRowShown="0" headerRowDxfId="43" dataDxfId="42">
  <autoFilter ref="B14:F22" xr:uid="{5CC2FFEC-5D01-4C21-8867-2FC6F7DBC7C9}"/>
  <tableColumns count="5">
    <tableColumn id="1" xr3:uid="{1799A6D5-C06E-48B6-AE07-D2AFDAA21A20}" name="Category" dataDxfId="41"/>
    <tableColumn id="2" xr3:uid="{2E7101E2-4D6E-4C17-ABEA-C52B1C8DF7E6}" name="Spent" dataDxfId="40">
      <calculatedColumnFormula>SUMIFS(Expenses!$D$2:$D$1046,Expenses!$C$2:$C$1046,B15,Expenses!$A$2:$A$1046,"&gt;=" &amp; EOMONTH(TODAY(), -1) + 1,Expenses!$A$2:$A$1046,"&lt;=" &amp; EOMONTH(TODAY(), 0))</calculatedColumnFormula>
    </tableColumn>
    <tableColumn id="3" xr3:uid="{4FA1FFFD-CB47-48D4-8A5C-E25D26F1C66A}" name="Goal Budget" dataDxfId="39">
      <calculatedColumnFormula>SUMIFS(Goals!$C$2:$C$1045,Goals!$B$2:$B$1045, B15,Goals!$A$2:$A$1045, "Monthly",Goals!$G$2:$G$1045, 1,Goals!$H$2:$H$1045, 1)</calculatedColumnFormula>
    </tableColumn>
    <tableColumn id="4" xr3:uid="{8A7FC2CF-3AA6-4085-9545-5FCFF77F0D16}" name="Status" dataDxfId="38">
      <calculatedColumnFormula>IF(C15 &gt; D15, "⚠ Over Budget", "OK")</calculatedColumnFormula>
    </tableColumn>
    <tableColumn id="5" xr3:uid="{5CE5520D-06E4-454E-8544-723E0B9D7086}" name="Percent Used" dataDxfId="37">
      <calculatedColumnFormula>IFERROR(C15/D15, 0)</calculatedColumnFormula>
    </tableColumn>
  </tableColumns>
  <tableStyleInfo name="TableStyleLight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0C98F45-8E66-4659-9D9D-86B6DE095BC7}" name="Table6" displayName="Table6" ref="B7:E8" totalsRowShown="0" headerRowDxfId="36" dataDxfId="35" headerRowBorderDxfId="33" tableBorderDxfId="34" totalsRowBorderDxfId="32">
  <autoFilter ref="B7:E8" xr:uid="{30C98F45-8E66-4659-9D9D-86B6DE095BC7}"/>
  <tableColumns count="4">
    <tableColumn id="1" xr3:uid="{1F6513C0-E6AD-4C70-833D-15FC5A945A76}" name="Spending This Month" dataDxfId="31">
      <calculatedColumnFormula>SUMIFS(Expenses!$D$2:$D$1046,Expenses!$A$2:$A$1046,"&gt;="&amp;EOMONTH(TODAY(),-1)+1,Expenses!$A$2:$A$1046,"&lt;="&amp;EOMONTH(TODAY(),0))</calculatedColumnFormula>
    </tableColumn>
    <tableColumn id="2" xr3:uid="{5A3E9EAF-D145-4B11-B4DE-E5B4CB2E56DD}" name="Monthly Added Budget" dataDxfId="30">
      <calculatedColumnFormula>SUMIFS('Food Budget'!$D$2:$D$994,'Food Budget'!$A$2:$A$994,"&gt;="&amp;EOMONTH(TODAY(),-1)+1,'Food Budget'!$A$2:$A$994,"&lt;="&amp;EOMONTH(TODAY(),0))</calculatedColumnFormula>
    </tableColumn>
    <tableColumn id="3" xr3:uid="{AB12C13B-8A32-4A24-90BA-8C5BD19133E3}" name="Leftover Budget" dataDxfId="29">
      <calculatedColumnFormula>$C$8-$B$8</calculatedColumnFormula>
    </tableColumn>
    <tableColumn id="4" xr3:uid="{7CE7933A-B114-42A6-B922-751839BFCCB6}" name="% of Budget Used" dataDxfId="28" dataCellStyle="Percent">
      <calculatedColumnFormula>B8 / C8</calculatedColumnFormula>
    </tableColumn>
  </tableColumns>
  <tableStyleInfo name="TableStyleLight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5B86B8-2240-4108-A229-58E3A99754EB}" name="Table11" displayName="Table11" ref="B28:E29" totalsRowShown="0" headerRowDxfId="27" dataDxfId="26">
  <autoFilter ref="B28:E29" xr:uid="{F25B86B8-2240-4108-A229-58E3A99754EB}"/>
  <tableColumns count="4">
    <tableColumn id="1" xr3:uid="{B05556BF-B0A1-4FED-9FCF-C2C2861CC322}" name="Amount Spent" dataDxfId="25">
      <calculatedColumnFormula>SUMIFS(Expenses!$D$2:$D$1046,Expenses!$A$2:$A$1046,"&gt;=" &amp; EOMONTH(TODAY(), -1) + 1,Expenses!$A$2:$A$1046,"&lt;=" &amp; EOMONTH(TODAY(), 0))</calculatedColumnFormula>
    </tableColumn>
    <tableColumn id="2" xr3:uid="{37BE9986-A099-44F2-B8B9-1095F88AD8B4}" name="Max Amount Expected" dataDxfId="24">
      <calculatedColumnFormula>SUMIFS(Goals!$C$2:$C$1045,Goals!$B$2:$B$1045, "All",Goals!$A$2:$A$1045, "Monthly",Goals!$G$2:$G$1045, 1,Goals!$H$2:$H$1045, 1)</calculatedColumnFormula>
    </tableColumn>
    <tableColumn id="3" xr3:uid="{BF61853B-5C23-4CC0-BD37-94C75D85F913}" name="Percent Used" dataDxfId="23">
      <calculatedColumnFormula>IFERROR(B29/C29, 0)</calculatedColumnFormula>
    </tableColumn>
    <tableColumn id="4" xr3:uid="{42ACC2DD-C1B3-4443-8243-0BE514D82D54}" name="Progress Bar" dataDxfId="22">
      <calculatedColumnFormula>D29</calculatedColumnFormula>
    </tableColumn>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Budget" displayName="tblBudget" ref="A1:F135" totalsRowShown="0" headerRowDxfId="21" dataDxfId="20" headerRowCellStyle="Accent5">
  <autoFilter ref="A1:F135" xr:uid="{00000000-0009-0000-0100-000001000000}"/>
  <tableColumns count="6">
    <tableColumn id="1" xr3:uid="{00000000-0010-0000-0000-000001000000}" name="Date" dataDxfId="19"/>
    <tableColumn id="2" xr3:uid="{00000000-0010-0000-0000-000002000000}" name="Description" dataDxfId="18"/>
    <tableColumn id="3" xr3:uid="{00000000-0010-0000-0000-000003000000}" name="Category" dataDxfId="17"/>
    <tableColumn id="4" xr3:uid="{00000000-0010-0000-0000-000004000000}" name="Amount" dataDxfId="16"/>
    <tableColumn id="5" xr3:uid="{00000000-0010-0000-0000-000005000000}" name="Repeat Frequency" dataDxfId="15"/>
    <tableColumn id="6" xr3:uid="{00000000-0010-0000-0000-000006000000}" name="Repeat Until" dataDxfId="1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Expenses" displayName="tblExpenses" ref="A1:F81" totalsRowShown="0" headerRowDxfId="13" headerRowCellStyle="Accent5">
  <autoFilter ref="A1:F81" xr:uid="{00000000-0009-0000-0100-000002000000}"/>
  <tableColumns count="6">
    <tableColumn id="1" xr3:uid="{00000000-0010-0000-0100-000001000000}" name="Date" dataDxfId="12">
      <calculatedColumnFormula>A1+2</calculatedColumnFormula>
    </tableColumn>
    <tableColumn id="2" xr3:uid="{00000000-0010-0000-0100-000002000000}" name="Description"/>
    <tableColumn id="3" xr3:uid="{00000000-0010-0000-0100-000003000000}" name="Category"/>
    <tableColumn id="4" xr3:uid="{00000000-0010-0000-0100-000004000000}" name="Amount" dataDxfId="11"/>
    <tableColumn id="5" xr3:uid="{00000000-0010-0000-0100-000005000000}" name="Repeat Frequency"/>
    <tableColumn id="6" xr3:uid="{00000000-0010-0000-0100-000006000000}" name="Repeat Until" dataDxfId="1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blGoals" displayName="tblGoals" ref="A1:H9" totalsRowShown="0" headerRowDxfId="9" dataDxfId="8">
  <autoFilter ref="A1:H9" xr:uid="{00000000-0009-0000-0100-000003000000}"/>
  <tableColumns count="8">
    <tableColumn id="1" xr3:uid="{00000000-0010-0000-0200-000001000000}" name="Goal Type" dataDxfId="7"/>
    <tableColumn id="2" xr3:uid="{00000000-0010-0000-0200-000002000000}" name="Description" dataDxfId="6"/>
    <tableColumn id="3" xr3:uid="{00000000-0010-0000-0200-000003000000}" name="Target Amount" dataDxfId="5"/>
    <tableColumn id="4" xr3:uid="{00000000-0010-0000-0200-000004000000}" name="Start Date" dataDxfId="4"/>
    <tableColumn id="5" xr3:uid="{00000000-0010-0000-0200-000005000000}" name="End Date" dataDxfId="3"/>
    <tableColumn id="6" xr3:uid="{00000000-0010-0000-0200-000006000000}" name="Notes" dataDxfId="2"/>
    <tableColumn id="7" xr3:uid="{E9AA5356-31CA-4124-928A-B54A352F7214}" name="Check Start Date" dataDxfId="1">
      <calculatedColumnFormula>IF(OR(D2="", D2&lt;=TODAY()), 1, 0)</calculatedColumnFormula>
    </tableColumn>
    <tableColumn id="8" xr3:uid="{8694B894-4011-4A3A-8D1C-0ABB452A34BF}" name="Check End Date" dataDxfId="0">
      <calculatedColumnFormula>IF(OR(E2="", E2&gt;=TODAY()), 1, 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table" Target="../tables/table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table" Target="../tables/table9.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
  <sheetViews>
    <sheetView tabSelected="1" topLeftCell="B1" workbookViewId="0">
      <selection activeCell="E6" sqref="E6"/>
    </sheetView>
  </sheetViews>
  <sheetFormatPr defaultRowHeight="15"/>
  <cols>
    <col min="1" max="16384" width="9.140625" style="11"/>
  </cols>
  <sheetData/>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28" r:id="rId3" name="Button 8">
              <controlPr defaultSize="0" print="0" autoFill="0" autoPict="0" macro="[0]!Button3_Click">
                <anchor moveWithCells="1" sizeWithCells="1">
                  <from>
                    <xdr:col>12</xdr:col>
                    <xdr:colOff>276225</xdr:colOff>
                    <xdr:row>10</xdr:row>
                    <xdr:rowOff>171450</xdr:rowOff>
                  </from>
                  <to>
                    <xdr:col>17</xdr:col>
                    <xdr:colOff>581025</xdr:colOff>
                    <xdr:row>15</xdr:row>
                    <xdr:rowOff>47625</xdr:rowOff>
                  </to>
                </anchor>
              </controlPr>
            </control>
          </mc:Choice>
        </mc:AlternateContent>
        <mc:AlternateContent xmlns:mc="http://schemas.openxmlformats.org/markup-compatibility/2006">
          <mc:Choice Requires="x14">
            <control shapeId="5133" r:id="rId4" name="Button 13">
              <controlPr defaultSize="0" print="0" autoFill="0" autoPict="0" macro="[0]!Button13_Click">
                <anchor moveWithCells="1" sizeWithCells="1">
                  <from>
                    <xdr:col>12</xdr:col>
                    <xdr:colOff>276225</xdr:colOff>
                    <xdr:row>23</xdr:row>
                    <xdr:rowOff>47625</xdr:rowOff>
                  </from>
                  <to>
                    <xdr:col>17</xdr:col>
                    <xdr:colOff>571500</xdr:colOff>
                    <xdr:row>27</xdr:row>
                    <xdr:rowOff>0</xdr:rowOff>
                  </to>
                </anchor>
              </controlPr>
            </control>
          </mc:Choice>
        </mc:AlternateContent>
        <mc:AlternateContent xmlns:mc="http://schemas.openxmlformats.org/markup-compatibility/2006">
          <mc:Choice Requires="x14">
            <control shapeId="5134" r:id="rId5" name="Button 14">
              <controlPr defaultSize="0" print="0" autoFill="0" autoPict="0" macro="[0]!Button14_Click">
                <anchor moveWithCells="1" sizeWithCells="1">
                  <from>
                    <xdr:col>12</xdr:col>
                    <xdr:colOff>266700</xdr:colOff>
                    <xdr:row>17</xdr:row>
                    <xdr:rowOff>38100</xdr:rowOff>
                  </from>
                  <to>
                    <xdr:col>17</xdr:col>
                    <xdr:colOff>581025</xdr:colOff>
                    <xdr:row>21</xdr:row>
                    <xdr:rowOff>47625</xdr:rowOff>
                  </to>
                </anchor>
              </controlPr>
            </control>
          </mc:Choice>
        </mc:AlternateContent>
        <mc:AlternateContent xmlns:mc="http://schemas.openxmlformats.org/markup-compatibility/2006">
          <mc:Choice Requires="x14">
            <control shapeId="5135" r:id="rId6" name="Button 15">
              <controlPr defaultSize="0" print="0" autoFill="0" autoPict="0" macro="[0]!open_dashboard">
                <anchor moveWithCells="1" sizeWithCells="1">
                  <from>
                    <xdr:col>4</xdr:col>
                    <xdr:colOff>285750</xdr:colOff>
                    <xdr:row>10</xdr:row>
                    <xdr:rowOff>161925</xdr:rowOff>
                  </from>
                  <to>
                    <xdr:col>9</xdr:col>
                    <xdr:colOff>495300</xdr:colOff>
                    <xdr:row>15</xdr:row>
                    <xdr:rowOff>38100</xdr:rowOff>
                  </to>
                </anchor>
              </controlPr>
            </control>
          </mc:Choice>
        </mc:AlternateContent>
        <mc:AlternateContent xmlns:mc="http://schemas.openxmlformats.org/markup-compatibility/2006">
          <mc:Choice Requires="x14">
            <control shapeId="5136" r:id="rId7" name="Button 16">
              <controlPr defaultSize="0" print="0" autoFill="0" autoPict="0" macro="[0]!open_financial_advice">
                <anchor moveWithCells="1" sizeWithCells="1">
                  <from>
                    <xdr:col>4</xdr:col>
                    <xdr:colOff>276225</xdr:colOff>
                    <xdr:row>17</xdr:row>
                    <xdr:rowOff>9525</xdr:rowOff>
                  </from>
                  <to>
                    <xdr:col>9</xdr:col>
                    <xdr:colOff>495300</xdr:colOff>
                    <xdr:row>21</xdr:row>
                    <xdr:rowOff>19050</xdr:rowOff>
                  </to>
                </anchor>
              </controlPr>
            </control>
          </mc:Choice>
        </mc:AlternateContent>
        <mc:AlternateContent xmlns:mc="http://schemas.openxmlformats.org/markup-compatibility/2006">
          <mc:Choice Requires="x14">
            <control shapeId="5137" r:id="rId8" name="Button 17">
              <controlPr defaultSize="0" print="0" autoFill="0" autoPict="0" macro="[0]!open_review">
                <anchor moveWithCells="1" sizeWithCells="1">
                  <from>
                    <xdr:col>4</xdr:col>
                    <xdr:colOff>266700</xdr:colOff>
                    <xdr:row>23</xdr:row>
                    <xdr:rowOff>0</xdr:rowOff>
                  </from>
                  <to>
                    <xdr:col>9</xdr:col>
                    <xdr:colOff>495300</xdr:colOff>
                    <xdr:row>26</xdr:row>
                    <xdr:rowOff>171450</xdr:rowOff>
                  </to>
                </anchor>
              </controlPr>
            </control>
          </mc:Choice>
        </mc:AlternateContent>
        <mc:AlternateContent xmlns:mc="http://schemas.openxmlformats.org/markup-compatibility/2006">
          <mc:Choice Requires="x14">
            <control shapeId="5138" r:id="rId9" name="Button 18">
              <controlPr defaultSize="0" print="0" autoFill="0" autoPict="0" macro="[0]!open_instructions">
                <anchor moveWithCells="1" sizeWithCells="1">
                  <from>
                    <xdr:col>1</xdr:col>
                    <xdr:colOff>600075</xdr:colOff>
                    <xdr:row>2</xdr:row>
                    <xdr:rowOff>57150</xdr:rowOff>
                  </from>
                  <to>
                    <xdr:col>4</xdr:col>
                    <xdr:colOff>95250</xdr:colOff>
                    <xdr:row>8</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5:G58"/>
  <sheetViews>
    <sheetView zoomScaleNormal="100" workbookViewId="0">
      <selection activeCell="D5" sqref="D5"/>
    </sheetView>
  </sheetViews>
  <sheetFormatPr defaultRowHeight="15"/>
  <cols>
    <col min="1" max="1" width="9.140625" style="11"/>
    <col min="2" max="2" width="16.140625" style="11" customWidth="1"/>
    <col min="3" max="3" width="16.28515625" style="11" customWidth="1"/>
    <col min="4" max="5" width="9.140625" style="11"/>
    <col min="6" max="7" width="10.42578125" style="11" bestFit="1" customWidth="1"/>
    <col min="8" max="16384" width="9.140625" style="11"/>
  </cols>
  <sheetData>
    <row r="5" spans="2:7">
      <c r="F5" s="19"/>
      <c r="G5" s="19"/>
    </row>
    <row r="11" spans="2:7">
      <c r="B11" s="18" t="s">
        <v>0</v>
      </c>
      <c r="C11" s="18"/>
    </row>
    <row r="12" spans="2:7">
      <c r="B12" s="11" t="s">
        <v>1</v>
      </c>
      <c r="C12" s="11" t="s">
        <v>2</v>
      </c>
    </row>
    <row r="13" spans="2:7">
      <c r="B13" s="11" t="s">
        <v>3</v>
      </c>
      <c r="C13" s="12">
        <f ca="1">SUMIFS(Expenses!$D$2:$D$1046,Expenses!$C$2:$C$1046,$B13,Expenses!$A$2:$A$1046,"&gt;=" &amp; DATE(YEAR(TODAY()),1,1),Expenses!$A$2:$A$1046,"&lt;=" &amp; DATE(YEAR(TODAY()),12,31))</f>
        <v>0</v>
      </c>
    </row>
    <row r="14" spans="2:7">
      <c r="B14" s="11" t="s">
        <v>4</v>
      </c>
      <c r="C14" s="12">
        <f ca="1">SUMIFS(Expenses!$D$2:$D$1046,Expenses!$C$2:$C$1046,$B14,Expenses!$A$2:$A$1046,"&gt;=" &amp; DATE(YEAR(TODAY()),1,1),Expenses!$A$2:$A$1046,"&lt;=" &amp; DATE(YEAR(TODAY()),12,31))</f>
        <v>0</v>
      </c>
    </row>
    <row r="15" spans="2:7">
      <c r="B15" s="11" t="s">
        <v>5</v>
      </c>
      <c r="C15" s="12">
        <f ca="1">SUMIFS(Expenses!$D$2:$D$1046,Expenses!$C$2:$C$1046,$B15,Expenses!$A$2:$A$1046,"&gt;=" &amp; DATE(YEAR(TODAY()),1,1),Expenses!$A$2:$A$1046,"&lt;=" &amp; DATE(YEAR(TODAY()),12,31))</f>
        <v>0</v>
      </c>
    </row>
    <row r="16" spans="2:7">
      <c r="B16" s="11" t="s">
        <v>6</v>
      </c>
      <c r="C16" s="12">
        <f ca="1">SUMIFS(Expenses!$D$2:$D$1046,Expenses!$C$2:$C$1046,$B16,Expenses!$A$2:$A$1046,"&gt;=" &amp; DATE(YEAR(TODAY()),1,1),Expenses!$A$2:$A$1046,"&lt;=" &amp; DATE(YEAR(TODAY()),12,31))</f>
        <v>0</v>
      </c>
    </row>
    <row r="17" spans="2:3">
      <c r="B17" s="11" t="s">
        <v>7</v>
      </c>
      <c r="C17" s="12">
        <f ca="1">SUMIFS(Expenses!$D$2:$D$1046,Expenses!$C$2:$C$1046,$B17,Expenses!$A$2:$A$1046,"&gt;=" &amp; DATE(YEAR(TODAY()),1,1),Expenses!$A$2:$A$1046,"&lt;=" &amp; DATE(YEAR(TODAY()),12,31))</f>
        <v>0</v>
      </c>
    </row>
    <row r="18" spans="2:3">
      <c r="B18" s="11" t="s">
        <v>8</v>
      </c>
      <c r="C18" s="12">
        <f ca="1">SUMIFS(Expenses!$D$2:$D$1046,Expenses!$C$2:$C$1046,$B18,Expenses!$A$2:$A$1046,"&gt;=" &amp; DATE(YEAR(TODAY()),1,1),Expenses!$A$2:$A$1046,"&lt;=" &amp; DATE(YEAR(TODAY()),12,31))</f>
        <v>0</v>
      </c>
    </row>
    <row r="19" spans="2:3">
      <c r="B19" s="11" t="s">
        <v>9</v>
      </c>
      <c r="C19" s="12">
        <f ca="1">SUMIFS(Expenses!$D$2:$D$1046,Expenses!$C$2:$C$1046,$B19,Expenses!$A$2:$A$1046,"&gt;=" &amp; DATE(YEAR(TODAY()),1,1),Expenses!$A$2:$A$1046,"&lt;=" &amp; DATE(YEAR(TODAY()),12,31))</f>
        <v>0</v>
      </c>
    </row>
    <row r="20" spans="2:3">
      <c r="B20" s="11" t="s">
        <v>10</v>
      </c>
      <c r="C20" s="12">
        <f ca="1">SUMIFS(Expenses!$D$2:$D$1046,Expenses!$C$2:$C$1046,$B20,Expenses!$A$2:$A$1046,"&gt;=" &amp; DATE(YEAR(TODAY()),1,1),Expenses!$A$2:$A$1046,"&lt;=" &amp; DATE(YEAR(TODAY()),12,31))</f>
        <v>0</v>
      </c>
    </row>
    <row r="29" spans="2:3">
      <c r="B29" s="18" t="s">
        <v>11</v>
      </c>
      <c r="C29" s="18"/>
    </row>
    <row r="30" spans="2:3">
      <c r="B30" s="11" t="s">
        <v>12</v>
      </c>
      <c r="C30" s="11" t="s">
        <v>2</v>
      </c>
    </row>
    <row r="31" spans="2:3">
      <c r="B31" s="11" t="str">
        <f ca="1">YEAR(TODAY())&amp;"-01"</f>
        <v>2026-01</v>
      </c>
      <c r="C31" s="12">
        <f ca="1">SUMIFS(Expenses!$D$2:$D$1046,Expenses!$A$2:$A$1046,"&gt;=" &amp; DATE(YEAR(TODAY()),1,1),Expenses!$A$2:$A$1046,"&lt;=" &amp; DATE(YEAR(TODAY()),1,31))</f>
        <v>0</v>
      </c>
    </row>
    <row r="32" spans="2:3">
      <c r="B32" s="11" t="s">
        <v>13</v>
      </c>
      <c r="C32" s="12">
        <f ca="1">SUMIFS(Expenses!$D$2:$D$1046,Expenses!$A$2:$A$1046,"&gt;=" &amp; DATE(YEAR(TODAY()),2,2),Expenses!$A$2:$A$1046,"&lt;=" &amp; DATE(YEAR(TODAY()),2,28))</f>
        <v>0</v>
      </c>
    </row>
    <row r="33" spans="2:3">
      <c r="B33" s="11" t="s">
        <v>14</v>
      </c>
      <c r="C33" s="12">
        <f ca="1">SUMIFS(Expenses!$D$2:$D$1046,Expenses!$A$2:$A$1046,"&gt;=" &amp; DATE(YEAR(TODAY()),3,1),Expenses!$A$2:$A$1046,"&lt;=" &amp; DATE(YEAR(TODAY()),3,31))</f>
        <v>0</v>
      </c>
    </row>
    <row r="34" spans="2:3">
      <c r="B34" s="11" t="s">
        <v>15</v>
      </c>
      <c r="C34" s="12">
        <f ca="1">SUMIFS(Expenses!$D$2:$D$1046,Expenses!$A$2:$A$1046,"&gt;=" &amp; DATE(YEAR(TODAY()),4,1),Expenses!$A$2:$A$1046,"&lt;=" &amp; DATE(YEAR(TODAY()),4,30))</f>
        <v>0</v>
      </c>
    </row>
    <row r="35" spans="2:3">
      <c r="B35" s="11" t="s">
        <v>16</v>
      </c>
      <c r="C35" s="12">
        <f ca="1">SUMIFS(Expenses!$D$2:$D$1046,Expenses!$A$2:$A$1046,"&gt;=" &amp; DATE(YEAR(TODAY()),5,1),Expenses!$A$2:$A$1046,"&lt;=" &amp; DATE(YEAR(TODAY()),5,31))</f>
        <v>0</v>
      </c>
    </row>
    <row r="36" spans="2:3">
      <c r="B36" s="11" t="s">
        <v>17</v>
      </c>
      <c r="C36" s="12">
        <f ca="1">SUMIFS(Expenses!$D$2:$D$1046,Expenses!$A$2:$A$1046,"&gt;=" &amp; DATE(YEAR(TODAY()),6,1),Expenses!$A$2:$A$1046,"&lt;=" &amp; DATE(YEAR(TODAY()),6,30))</f>
        <v>0</v>
      </c>
    </row>
    <row r="37" spans="2:3">
      <c r="B37" s="11" t="s">
        <v>18</v>
      </c>
      <c r="C37" s="12">
        <f ca="1">SUMIFS(Expenses!$D$2:$D$1046,Expenses!$A$2:$A$1046,"&gt;=" &amp; DATE(YEAR(TODAY()),7,1),Expenses!$A$2:$A$1046,"&lt;=" &amp; DATE(YEAR(TODAY()),7,31))</f>
        <v>0</v>
      </c>
    </row>
    <row r="38" spans="2:3">
      <c r="B38" s="11" t="s">
        <v>19</v>
      </c>
      <c r="C38" s="12">
        <f ca="1">SUMIFS(Expenses!$D$2:$D$1046,Expenses!$A$2:$A$1046,"&gt;=" &amp; DATE(YEAR(TODAY()),8,1),Expenses!$A$2:$A$1046,"&lt;=" &amp; DATE(YEAR(TODAY()),8,31))</f>
        <v>0</v>
      </c>
    </row>
    <row r="39" spans="2:3">
      <c r="B39" s="11" t="s">
        <v>20</v>
      </c>
      <c r="C39" s="12">
        <f ca="1">SUMIFS(Expenses!$D$2:$D$1046,Expenses!$A$2:$A$1046,"&gt;=" &amp; DATE(YEAR(TODAY()),9,1),Expenses!$A$2:$A$1046,"&lt;=" &amp; DATE(YEAR(TODAY()),9,30))</f>
        <v>0</v>
      </c>
    </row>
    <row r="40" spans="2:3">
      <c r="B40" s="11" t="s">
        <v>21</v>
      </c>
      <c r="C40" s="12">
        <f ca="1">SUMIFS(Expenses!$D$2:$D$1046,Expenses!$A$2:$A$1046,"&gt;=" &amp; DATE(YEAR(TODAY()),10,1),Expenses!$A$2:$A$1046,"&lt;=" &amp; DATE(YEAR(TODAY()),10,31))</f>
        <v>0</v>
      </c>
    </row>
    <row r="41" spans="2:3">
      <c r="B41" s="11" t="s">
        <v>22</v>
      </c>
      <c r="C41" s="12">
        <f ca="1">SUMIFS(Expenses!$D$2:$D$1046,Expenses!$A$2:$A$1046,"&gt;=" &amp; DATE(YEAR(TODAY()),11,1),Expenses!$A$2:$A$1046,"&lt;=" &amp; DATE(YEAR(TODAY()),11,30))</f>
        <v>0</v>
      </c>
    </row>
    <row r="42" spans="2:3">
      <c r="B42" s="11" t="s">
        <v>23</v>
      </c>
      <c r="C42" s="12">
        <f ca="1">SUMIFS(Expenses!$D$2:$D$1046,Expenses!$A$2:$A$1046,"&gt;=" &amp; DATE(YEAR(TODAY()),12,1),Expenses!$A$2:$A$1046,"&lt;=" &amp; DATE(YEAR(TODAY()),12,31))</f>
        <v>0</v>
      </c>
    </row>
    <row r="52" spans="2:3">
      <c r="B52" s="18" t="s">
        <v>24</v>
      </c>
      <c r="C52" s="18"/>
    </row>
    <row r="53" spans="2:3">
      <c r="B53" s="11" t="s">
        <v>1</v>
      </c>
      <c r="C53" s="11" t="s">
        <v>2</v>
      </c>
    </row>
    <row r="54" spans="2:3">
      <c r="B54" s="11" t="s">
        <v>25</v>
      </c>
      <c r="C54" s="11">
        <f ca="1">SUMIFS('Food Budget'!$D$2:$D$1044,'Food Budget'!$C$2:$C$1044,B54,'Food Budget'!$A$2:$A$1044,"&gt;=" &amp; DATE(YEAR(TODAY()),1,1),'Food Budget'!$A$2:$A$1044,"&lt;=" &amp; DATE(YEAR(TODAY()),12,31))</f>
        <v>0</v>
      </c>
    </row>
    <row r="55" spans="2:3">
      <c r="B55" s="11" t="s">
        <v>26</v>
      </c>
      <c r="C55" s="11">
        <f ca="1">SUMIFS('Food Budget'!$D$2:$D$1044,'Food Budget'!$C$2:$C$1044,B55,'Food Budget'!$A$2:$A$1044,"&gt;=" &amp; DATE(YEAR(TODAY()),1,1),'Food Budget'!$A$2:$A$1044,"&lt;=" &amp; DATE(YEAR(TODAY()),12,31))</f>
        <v>8</v>
      </c>
    </row>
    <row r="56" spans="2:3">
      <c r="B56" s="11" t="s">
        <v>27</v>
      </c>
      <c r="C56" s="11">
        <f ca="1">SUMIFS('Food Budget'!$D$2:$D$1044,'Food Budget'!$C$2:$C$1044,B56,'Food Budget'!$A$2:$A$1044,"&gt;=" &amp; DATE(YEAR(TODAY()),1,1),'Food Budget'!$A$2:$A$1044,"&lt;=" &amp; DATE(YEAR(TODAY()),12,31))</f>
        <v>0</v>
      </c>
    </row>
    <row r="57" spans="2:3">
      <c r="B57" s="11" t="s">
        <v>28</v>
      </c>
      <c r="C57" s="11">
        <f ca="1">SUMIFS('Food Budget'!$D$2:$D$1044,'Food Budget'!$C$2:$C$1044,B57,'Food Budget'!$A$2:$A$1044,"&gt;=" &amp; DATE(YEAR(TODAY()),1,1),'Food Budget'!$A$2:$A$1044,"&lt;=" &amp; DATE(YEAR(TODAY()),12,31))</f>
        <v>0</v>
      </c>
    </row>
    <row r="58" spans="2:3">
      <c r="B58" s="11" t="s">
        <v>10</v>
      </c>
      <c r="C58" s="11">
        <f ca="1">SUMIFS('Food Budget'!$D$2:$D$1044,'Food Budget'!$C$2:$C$1044,B58,'Food Budget'!$A$2:$A$1044,"&gt;=" &amp; DATE(YEAR(TODAY()),1,1),'Food Budget'!$A$2:$A$1044,"&lt;=" &amp; DATE(YEAR(TODAY()),12,31))</f>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open_home">
                <anchor moveWithCells="1" sizeWithCells="1">
                  <from>
                    <xdr:col>1</xdr:col>
                    <xdr:colOff>9525</xdr:colOff>
                    <xdr:row>1</xdr:row>
                    <xdr:rowOff>28575</xdr:rowOff>
                  </from>
                  <to>
                    <xdr:col>2</xdr:col>
                    <xdr:colOff>742950</xdr:colOff>
                    <xdr:row>4</xdr:row>
                    <xdr:rowOff>9525</xdr:rowOff>
                  </to>
                </anchor>
              </controlPr>
            </control>
          </mc:Choice>
        </mc:AlternateContent>
      </controls>
    </mc:Choice>
  </mc:AlternateContent>
  <tableParts count="3">
    <tablePart r:id="rId4"/>
    <tablePart r:id="rId5"/>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N29"/>
  <sheetViews>
    <sheetView workbookViewId="0">
      <selection activeCell="L5" sqref="L5"/>
    </sheetView>
  </sheetViews>
  <sheetFormatPr defaultColWidth="8.85546875" defaultRowHeight="15"/>
  <cols>
    <col min="1" max="1" width="15.42578125" style="20" bestFit="1" customWidth="1"/>
    <col min="2" max="2" width="21.85546875" style="20" customWidth="1"/>
    <col min="3" max="3" width="25.140625" style="20" customWidth="1"/>
    <col min="4" max="4" width="17.7109375" style="20" customWidth="1"/>
    <col min="5" max="5" width="18.42578125" style="20" customWidth="1"/>
    <col min="6" max="6" width="16.42578125" style="20" customWidth="1"/>
    <col min="7" max="13" width="8.85546875" style="20"/>
    <col min="14" max="16384" width="8.85546875" style="11"/>
  </cols>
  <sheetData>
    <row r="1" spans="2:14" ht="14.25" customHeight="1"/>
    <row r="2" spans="2:14" ht="15" customHeight="1"/>
    <row r="3" spans="2:14" ht="24" customHeight="1"/>
    <row r="4" spans="2:14" ht="29.25" customHeight="1"/>
    <row r="5" spans="2:14" ht="29.25" customHeight="1"/>
    <row r="6" spans="2:14" ht="48" customHeight="1">
      <c r="H6" s="11"/>
    </row>
    <row r="7" spans="2:14" ht="15.75" customHeight="1">
      <c r="B7" s="30" t="s">
        <v>29</v>
      </c>
      <c r="C7" s="31" t="s">
        <v>30</v>
      </c>
      <c r="D7" s="31" t="s">
        <v>31</v>
      </c>
      <c r="E7" s="32" t="s">
        <v>32</v>
      </c>
      <c r="G7" s="11"/>
      <c r="H7" s="38" t="str">
        <f ca="1">IF(B8 &gt; C8, "You have exceeded your monthly food budget. Focus on reducing unnecessary purchases. Or, add more to Budget during this month.",IF(B8 &gt; 0.8*C8,"You are close to reaching your monthly budget. Slow down on non-essential spending, or add more to budget during this month.","You are on track with your food spending this month. Keep monitoring your expenses."))</f>
        <v>You are on track with your food spending this month. Keep monitoring your expenses.</v>
      </c>
      <c r="I7" s="38"/>
      <c r="J7" s="38"/>
      <c r="K7" s="38"/>
      <c r="L7" s="38"/>
      <c r="M7" s="38"/>
      <c r="N7" s="21"/>
    </row>
    <row r="8" spans="2:14" ht="35.25" customHeight="1">
      <c r="B8" s="24">
        <f ca="1">SUMIFS(Expenses!$D$2:$D$1046,Expenses!$A$2:$A$1046,"&gt;="&amp;EOMONTH(TODAY(),-1)+1,Expenses!$A$2:$A$1046,"&lt;="&amp;EOMONTH(TODAY(),0))</f>
        <v>0</v>
      </c>
      <c r="C8" s="25">
        <f ca="1">SUMIFS('Food Budget'!$D$2:$D$994,'Food Budget'!$A$2:$A$994,"&gt;="&amp;EOMONTH(TODAY(),-1)+1,'Food Budget'!$A$2:$A$994,"&lt;="&amp;EOMONTH(TODAY(),0))</f>
        <v>0</v>
      </c>
      <c r="D8" s="25">
        <f ca="1">$C$8-$B$8</f>
        <v>0</v>
      </c>
      <c r="E8" s="26" t="e">
        <f ca="1">B8 / C8</f>
        <v>#DIV/0!</v>
      </c>
      <c r="H8" s="38"/>
      <c r="I8" s="38"/>
      <c r="J8" s="38"/>
      <c r="K8" s="38"/>
      <c r="L8" s="38"/>
      <c r="M8" s="38"/>
      <c r="N8" s="21"/>
    </row>
    <row r="14" spans="2:14" ht="18.75">
      <c r="B14" s="29" t="s">
        <v>1</v>
      </c>
      <c r="C14" s="29" t="s">
        <v>33</v>
      </c>
      <c r="D14" s="29" t="s">
        <v>34</v>
      </c>
      <c r="E14" s="29" t="s">
        <v>35</v>
      </c>
      <c r="F14" s="29" t="s">
        <v>36</v>
      </c>
    </row>
    <row r="15" spans="2:14" ht="18.75">
      <c r="B15" s="22" t="s">
        <v>3</v>
      </c>
      <c r="C15" s="22">
        <f ca="1">SUMIFS(Expenses!$D$2:$D$1046,Expenses!$C$2:$C$1046,B15,Expenses!$A$2:$A$1046,"&gt;=" &amp; EOMONTH(TODAY(), -1) + 1,Expenses!$A$2:$A$1046,"&lt;=" &amp; EOMONTH(TODAY(), 0))</f>
        <v>0</v>
      </c>
      <c r="D15" s="22">
        <f ca="1">SUMIFS(Goals!$C$2:$C$1045,Goals!$B$2:$B$1045, B15,Goals!$A$2:$A$1045, "Monthly",Goals!$G$2:$G$1045, 1,Goals!$H$2:$H$1045, 1)</f>
        <v>150</v>
      </c>
      <c r="E15" s="22" t="str">
        <f ca="1">IF(C15 &gt; D15, "⚠ Over Budget", "OK")</f>
        <v>OK</v>
      </c>
      <c r="F15" s="23">
        <f ca="1">IFERROR(C15/D15, 0)</f>
        <v>0</v>
      </c>
    </row>
    <row r="16" spans="2:14" ht="18.75" customHeight="1">
      <c r="B16" s="22" t="s">
        <v>4</v>
      </c>
      <c r="C16" s="22">
        <f ca="1">SUMIFS(Expenses!$D$2:$D$1046,Expenses!$C$2:$C$1046,B16,Expenses!$A$2:$A$1046,"&gt;=" &amp; EOMONTH(TODAY(), -1) + 1,Expenses!$A$2:$A$1046,"&lt;=" &amp; EOMONTH(TODAY(), 0))</f>
        <v>0</v>
      </c>
      <c r="D16" s="22">
        <f ca="1">SUMIFS(Goals!$C$2:$C$1045,Goals!$B$2:$B$1045, B16,Goals!$A$2:$A$1045, "Monthly",Goals!$G$2:$G$1045, 1,Goals!$H$2:$H$1045, 1)</f>
        <v>0</v>
      </c>
      <c r="E16" s="22" t="str">
        <f t="shared" ref="E16:E22" ca="1" si="0">IF(C16 &gt; D16, "⚠ Over Budget", "OK")</f>
        <v>OK</v>
      </c>
      <c r="F16" s="23">
        <f t="shared" ref="F16:F22" ca="1" si="1">IFERROR(C16/D16, 0)</f>
        <v>0</v>
      </c>
      <c r="H16" s="38" t="str">
        <f ca="1">"Your highest spending category this month is " &amp; INDEX(B15:B22, MATCH(MAX(F15:F22), F15:F22, 0)) &amp; ". Consider reducing purchases in this category. Alternatively, add more to the Goal Limit for this category."</f>
        <v>Your highest spending category this month is Proteins. Consider reducing purchases in this category. Alternatively, add more to the Goal Limit for this category.</v>
      </c>
      <c r="I16" s="38"/>
      <c r="J16" s="38"/>
      <c r="K16" s="38"/>
      <c r="L16" s="38"/>
      <c r="M16" s="38"/>
    </row>
    <row r="17" spans="2:13" ht="18.75">
      <c r="B17" s="22" t="s">
        <v>5</v>
      </c>
      <c r="C17" s="22">
        <f ca="1">SUMIFS(Expenses!$D$2:$D$1046,Expenses!$C$2:$C$1046,B17,Expenses!$A$2:$A$1046,"&gt;=" &amp; EOMONTH(TODAY(), -1) + 1,Expenses!$A$2:$A$1046,"&lt;=" &amp; EOMONTH(TODAY(), 0))</f>
        <v>0</v>
      </c>
      <c r="D17" s="22">
        <f ca="1">SUMIFS(Goals!$C$2:$C$1045,Goals!$B$2:$B$1045, B17,Goals!$A$2:$A$1045, "Monthly",Goals!$G$2:$G$1045, 1,Goals!$H$2:$H$1045, 1)</f>
        <v>100</v>
      </c>
      <c r="E17" s="22" t="str">
        <f t="shared" ca="1" si="0"/>
        <v>OK</v>
      </c>
      <c r="F17" s="23">
        <f t="shared" ca="1" si="1"/>
        <v>0</v>
      </c>
      <c r="H17" s="38"/>
      <c r="I17" s="38"/>
      <c r="J17" s="38"/>
      <c r="K17" s="38"/>
      <c r="L17" s="38"/>
      <c r="M17" s="38"/>
    </row>
    <row r="18" spans="2:13" ht="18.75">
      <c r="B18" s="22" t="s">
        <v>6</v>
      </c>
      <c r="C18" s="22">
        <f ca="1">SUMIFS(Expenses!$D$2:$D$1046,Expenses!$C$2:$C$1046,B18,Expenses!$A$2:$A$1046,"&gt;=" &amp; EOMONTH(TODAY(), -1) + 1,Expenses!$A$2:$A$1046,"&lt;=" &amp; EOMONTH(TODAY(), 0))</f>
        <v>0</v>
      </c>
      <c r="D18" s="22">
        <f>SUMIFS(Goals!$C$2:$C$1045,Goals!$B$2:$B$1045, B18,Goals!$A$2:$A$1045, "Monthly",Goals!$G$2:$G$1045, 1,Goals!$H$2:$H$1045, 1)</f>
        <v>0</v>
      </c>
      <c r="E18" s="22" t="str">
        <f t="shared" ca="1" si="0"/>
        <v>OK</v>
      </c>
      <c r="F18" s="23">
        <f t="shared" ca="1" si="1"/>
        <v>0</v>
      </c>
      <c r="H18" s="38"/>
      <c r="I18" s="38"/>
      <c r="J18" s="38"/>
      <c r="K18" s="38"/>
      <c r="L18" s="38"/>
      <c r="M18" s="38"/>
    </row>
    <row r="19" spans="2:13" ht="18.75">
      <c r="B19" s="22" t="s">
        <v>7</v>
      </c>
      <c r="C19" s="22">
        <f ca="1">SUMIFS(Expenses!$D$2:$D$1046,Expenses!$C$2:$C$1046,B19,Expenses!$A$2:$A$1046,"&gt;=" &amp; EOMONTH(TODAY(), -1) + 1,Expenses!$A$2:$A$1046,"&lt;=" &amp; EOMONTH(TODAY(), 0))</f>
        <v>0</v>
      </c>
      <c r="D19" s="22">
        <f>SUMIFS(Goals!$C$2:$C$1045,Goals!$B$2:$B$1045, B19,Goals!$A$2:$A$1045, "Monthly",Goals!$G$2:$G$1045, 1,Goals!$H$2:$H$1045, 1)</f>
        <v>0</v>
      </c>
      <c r="E19" s="22" t="str">
        <f t="shared" ca="1" si="0"/>
        <v>OK</v>
      </c>
      <c r="F19" s="23">
        <f t="shared" ca="1" si="1"/>
        <v>0</v>
      </c>
      <c r="H19" s="38"/>
      <c r="I19" s="38"/>
      <c r="J19" s="38"/>
      <c r="K19" s="38"/>
      <c r="L19" s="38"/>
      <c r="M19" s="38"/>
    </row>
    <row r="20" spans="2:13" ht="37.5" customHeight="1">
      <c r="B20" s="22" t="s">
        <v>8</v>
      </c>
      <c r="C20" s="22">
        <f ca="1">SUMIFS(Expenses!$D$2:$D$1046,Expenses!$C$2:$C$1046,B20,Expenses!$A$2:$A$1046,"&gt;=" &amp; EOMONTH(TODAY(), -1) + 1,Expenses!$A$2:$A$1046,"&lt;=" &amp; EOMONTH(TODAY(), 0))</f>
        <v>0</v>
      </c>
      <c r="D20" s="22">
        <f ca="1">SUMIFS(Goals!$C$2:$C$1045,Goals!$B$2:$B$1045, B20,Goals!$A$2:$A$1045, "Monthly",Goals!$G$2:$G$1045, 1,Goals!$H$2:$H$1045, 1)</f>
        <v>0</v>
      </c>
      <c r="E20" s="22" t="str">
        <f t="shared" ca="1" si="0"/>
        <v>OK</v>
      </c>
      <c r="F20" s="23">
        <f t="shared" ca="1" si="1"/>
        <v>0</v>
      </c>
      <c r="H20" s="38"/>
      <c r="I20" s="38"/>
      <c r="J20" s="38"/>
      <c r="K20" s="38"/>
      <c r="L20" s="38"/>
      <c r="M20" s="38"/>
    </row>
    <row r="21" spans="2:13" ht="18.75">
      <c r="B21" s="22" t="s">
        <v>9</v>
      </c>
      <c r="C21" s="22">
        <f ca="1">SUMIFS(Expenses!$D$2:$D$1046,Expenses!$C$2:$C$1046,B21,Expenses!$A$2:$A$1046,"&gt;=" &amp; EOMONTH(TODAY(), -1) + 1,Expenses!$A$2:$A$1046,"&lt;=" &amp; EOMONTH(TODAY(), 0))</f>
        <v>0</v>
      </c>
      <c r="D21" s="22">
        <f ca="1">SUMIFS(Goals!$C$2:$C$1045,Goals!$B$2:$B$1045, B21,Goals!$A$2:$A$1045, "Monthly",Goals!$G$2:$G$1045, 1,Goals!$H$2:$H$1045, 1)</f>
        <v>100</v>
      </c>
      <c r="E21" s="22" t="str">
        <f t="shared" ca="1" si="0"/>
        <v>OK</v>
      </c>
      <c r="F21" s="23">
        <f t="shared" ca="1" si="1"/>
        <v>0</v>
      </c>
    </row>
    <row r="22" spans="2:13" ht="18.75">
      <c r="B22" s="22" t="s">
        <v>10</v>
      </c>
      <c r="C22" s="22">
        <f ca="1">SUMIFS(Expenses!$D$2:$D$1046,Expenses!$C$2:$C$1046,B22,Expenses!$A$2:$A$1046,"&gt;=" &amp; EOMONTH(TODAY(), -1) + 1,Expenses!$A$2:$A$1046,"&lt;=" &amp; EOMONTH(TODAY(), 0))</f>
        <v>0</v>
      </c>
      <c r="D22" s="22">
        <f>SUMIFS(Goals!$C$2:$C$1045,Goals!$B$2:$B$1045, B22,Goals!$A$2:$A$1045, "Monthly",Goals!$G$2:$G$1045, 1,Goals!$H$2:$H$1045, 1)</f>
        <v>0</v>
      </c>
      <c r="E22" s="22" t="str">
        <f t="shared" ca="1" si="0"/>
        <v>OK</v>
      </c>
      <c r="F22" s="23">
        <f t="shared" ca="1" si="1"/>
        <v>0</v>
      </c>
    </row>
    <row r="24" spans="2:13" ht="36" customHeight="1"/>
    <row r="27" spans="2:13" ht="39.75" customHeight="1">
      <c r="B27" s="39" t="s">
        <v>37</v>
      </c>
      <c r="C27" s="39"/>
      <c r="D27" s="39"/>
      <c r="E27" s="39"/>
      <c r="J27" s="11"/>
    </row>
    <row r="28" spans="2:13" ht="60" customHeight="1">
      <c r="B28" s="33" t="s">
        <v>38</v>
      </c>
      <c r="C28" s="33" t="s">
        <v>39</v>
      </c>
      <c r="D28" s="33" t="s">
        <v>36</v>
      </c>
      <c r="E28" s="33" t="s">
        <v>40</v>
      </c>
      <c r="H28" s="38" t="str">
        <f ca="1">IF(B29 &gt; C29, "You exceeded your monthly Goal Max Expenses. Focus on reducing unnecessary purchases based on advice above. Consider adding more to Budget during this month or add more to this month's Goal Limit for All Categories.",IF(B29 &gt; 0.8*C29,"You are close to reaching your monthly Goal Limit. Slow down on non-essential spending, or add more to budget/goal limit during this month.","You are on track with your savings this month. Keep monitoring your expenses."))</f>
        <v>You are on track with your savings this month. Keep monitoring your expenses.</v>
      </c>
      <c r="I28" s="38"/>
      <c r="J28" s="38"/>
      <c r="K28" s="38"/>
      <c r="L28" s="38"/>
      <c r="M28" s="38"/>
    </row>
    <row r="29" spans="2:13" ht="30" customHeight="1">
      <c r="B29" s="22">
        <f ca="1">SUMIFS(Expenses!$D$2:$D$1046,Expenses!$A$2:$A$1046,"&gt;=" &amp; EOMONTH(TODAY(), -1) + 1,Expenses!$A$2:$A$1046,"&lt;=" &amp; EOMONTH(TODAY(), 0))</f>
        <v>0</v>
      </c>
      <c r="C29" s="22">
        <f ca="1">SUMIFS(Goals!$C$2:$C$1045,Goals!$B$2:$B$1045, "All",Goals!$A$2:$A$1045, "Monthly",Goals!$G$2:$G$1045, 1,Goals!$H$2:$H$1045, 1)</f>
        <v>0</v>
      </c>
      <c r="D29" s="27">
        <f ca="1">IFERROR(B29/C29, 0)</f>
        <v>0</v>
      </c>
      <c r="E29" s="28">
        <f ca="1">D29</f>
        <v>0</v>
      </c>
    </row>
  </sheetData>
  <mergeCells count="4">
    <mergeCell ref="H16:M20"/>
    <mergeCell ref="H28:M28"/>
    <mergeCell ref="B27:E27"/>
    <mergeCell ref="H7:M8"/>
  </mergeCells>
  <conditionalFormatting sqref="F15:F22">
    <cfRule type="cellIs" dxfId="55" priority="12" operator="greaterThan">
      <formula>0.75</formula>
    </cfRule>
    <cfRule type="cellIs" dxfId="54" priority="13" operator="between">
      <formula>0.5</formula>
      <formula>0.75</formula>
    </cfRule>
    <cfRule type="cellIs" dxfId="53" priority="14" operator="between">
      <formula>0.25</formula>
      <formula>0.5</formula>
    </cfRule>
    <cfRule type="cellIs" dxfId="52" priority="15" operator="between">
      <formula>0</formula>
      <formula>0.25</formula>
    </cfRule>
  </conditionalFormatting>
  <conditionalFormatting sqref="E8">
    <cfRule type="cellIs" dxfId="51" priority="9" operator="greaterThan">
      <formula>0.8</formula>
    </cfRule>
    <cfRule type="cellIs" dxfId="50" priority="10" operator="between">
      <formula>0.5</formula>
      <formula>0.8</formula>
    </cfRule>
    <cfRule type="cellIs" dxfId="49" priority="11" operator="between">
      <formula>0</formula>
      <formula>0.5</formula>
    </cfRule>
  </conditionalFormatting>
  <conditionalFormatting sqref="D29">
    <cfRule type="cellIs" dxfId="48" priority="5" operator="greaterThan">
      <formula>1</formula>
    </cfRule>
    <cfRule type="cellIs" dxfId="47" priority="6" operator="between">
      <formula>0.8</formula>
      <formula>1</formula>
    </cfRule>
    <cfRule type="cellIs" dxfId="46" priority="7" operator="between">
      <formula>0.5</formula>
      <formula>0.8</formula>
    </cfRule>
    <cfRule type="cellIs" dxfId="45" priority="8" operator="between">
      <formula>0</formula>
      <formula>0.5</formula>
    </cfRule>
  </conditionalFormatting>
  <conditionalFormatting sqref="E29">
    <cfRule type="dataBar" priority="3">
      <dataBar>
        <cfvo type="percent" val="0"/>
        <cfvo type="percent" val="100"/>
        <color rgb="FF638EC6"/>
      </dataBar>
      <extLst>
        <ext xmlns:x14="http://schemas.microsoft.com/office/spreadsheetml/2009/9/main" uri="{B025F937-C7B1-47D3-B67F-A62EFF666E3E}">
          <x14:id>{EF0F0E66-290E-4BA8-94AB-F50D016646E3}</x14:id>
        </ext>
      </extLst>
    </cfRule>
  </conditionalFormatting>
  <conditionalFormatting sqref="E15:E22">
    <cfRule type="cellIs" dxfId="44" priority="1" operator="equal">
      <formula>"⚠ Over Budget"</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6" r:id="rId3" name="Button 4">
              <controlPr defaultSize="0" print="0" autoFill="0" autoPict="0" macro="[0]!open_home">
                <anchor moveWithCells="1" sizeWithCells="1">
                  <from>
                    <xdr:col>0</xdr:col>
                    <xdr:colOff>542925</xdr:colOff>
                    <xdr:row>1</xdr:row>
                    <xdr:rowOff>257175</xdr:rowOff>
                  </from>
                  <to>
                    <xdr:col>2</xdr:col>
                    <xdr:colOff>104775</xdr:colOff>
                    <xdr:row>3</xdr:row>
                    <xdr:rowOff>219075</xdr:rowOff>
                  </to>
                </anchor>
              </controlPr>
            </control>
          </mc:Choice>
        </mc:AlternateContent>
      </controls>
    </mc:Choice>
  </mc:AlternateContent>
  <tableParts count="3">
    <tablePart r:id="rId4"/>
    <tablePart r:id="rId5"/>
    <tablePart r:id="rId6"/>
  </tableParts>
  <extLst>
    <ext xmlns:x14="http://schemas.microsoft.com/office/spreadsheetml/2009/9/main" uri="{78C0D931-6437-407d-A8EE-F0AAD7539E65}">
      <x14:conditionalFormattings>
        <x14:conditionalFormatting xmlns:xm="http://schemas.microsoft.com/office/excel/2006/main">
          <x14:cfRule type="dataBar" id="{EF0F0E66-290E-4BA8-94AB-F50D016646E3}">
            <x14:dataBar minLength="0" maxLength="100" border="1" negativeBarBorderColorSameAsPositive="0">
              <x14:cfvo type="percent">
                <xm:f>0</xm:f>
              </x14:cfvo>
              <x14:cfvo type="percent">
                <xm:f>100</xm:f>
              </x14:cfvo>
              <x14:borderColor rgb="FF638EC6"/>
              <x14:negativeFillColor rgb="FFFF0000"/>
              <x14:negativeBorderColor rgb="FFFF0000"/>
              <x14:axisColor rgb="FF000000"/>
            </x14:dataBar>
          </x14:cfRule>
          <xm:sqref>E29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H11"/>
  <sheetViews>
    <sheetView workbookViewId="0">
      <selection activeCell="E18" sqref="E18"/>
    </sheetView>
  </sheetViews>
  <sheetFormatPr defaultColWidth="8.85546875" defaultRowHeight="15"/>
  <cols>
    <col min="1" max="1" width="18.140625" style="13" customWidth="1"/>
    <col min="2" max="4" width="8.85546875" style="13"/>
    <col min="5" max="5" width="13.5703125" style="13" customWidth="1"/>
    <col min="6" max="6" width="18.42578125" style="13" customWidth="1"/>
    <col min="7" max="7" width="22.28515625" style="13" customWidth="1"/>
    <col min="8" max="8" width="16.140625" style="13" customWidth="1"/>
    <col min="9" max="16384" width="8.85546875" style="13"/>
  </cols>
  <sheetData>
    <row r="1" spans="1:8" ht="21">
      <c r="A1" s="17" t="s">
        <v>41</v>
      </c>
      <c r="E1" s="16" t="s">
        <v>42</v>
      </c>
      <c r="F1" s="16" t="s">
        <v>43</v>
      </c>
      <c r="G1" s="16" t="s">
        <v>44</v>
      </c>
      <c r="H1" s="16" t="s">
        <v>2</v>
      </c>
    </row>
    <row r="2" spans="1:8">
      <c r="A2" s="14">
        <v>45658</v>
      </c>
      <c r="E2" s="14">
        <v>45814</v>
      </c>
      <c r="F2" s="13">
        <v>6</v>
      </c>
      <c r="G2" s="13" t="s">
        <v>4</v>
      </c>
      <c r="H2" s="15">
        <v>50</v>
      </c>
    </row>
    <row r="3" spans="1:8">
      <c r="A3" s="17" t="s">
        <v>45</v>
      </c>
      <c r="E3" s="14">
        <v>45690</v>
      </c>
      <c r="F3" s="13">
        <v>2</v>
      </c>
      <c r="G3" s="13" t="s">
        <v>4</v>
      </c>
      <c r="H3" s="15">
        <v>2</v>
      </c>
    </row>
    <row r="4" spans="1:8">
      <c r="A4" s="14">
        <v>45814</v>
      </c>
      <c r="E4" s="14">
        <v>45718</v>
      </c>
      <c r="F4" s="13">
        <v>2</v>
      </c>
      <c r="G4" s="13" t="s">
        <v>5</v>
      </c>
      <c r="H4" s="15">
        <v>20</v>
      </c>
    </row>
    <row r="5" spans="1:8">
      <c r="E5" s="14">
        <v>45719</v>
      </c>
      <c r="F5" s="13">
        <v>2</v>
      </c>
      <c r="G5" s="13" t="s">
        <v>5</v>
      </c>
      <c r="H5" s="15">
        <v>20</v>
      </c>
    </row>
    <row r="6" spans="1:8">
      <c r="E6" s="14">
        <v>45720</v>
      </c>
      <c r="F6" s="13">
        <v>2</v>
      </c>
      <c r="G6" s="13" t="s">
        <v>5</v>
      </c>
      <c r="H6" s="15">
        <v>20</v>
      </c>
    </row>
    <row r="7" spans="1:8">
      <c r="E7" s="14">
        <v>45721</v>
      </c>
      <c r="F7" s="13">
        <v>2</v>
      </c>
      <c r="G7" s="13" t="s">
        <v>5</v>
      </c>
      <c r="H7" s="15">
        <v>20</v>
      </c>
    </row>
    <row r="8" spans="1:8">
      <c r="E8" s="14">
        <v>45719</v>
      </c>
      <c r="F8" s="13">
        <v>3</v>
      </c>
      <c r="G8" s="13" t="s">
        <v>7</v>
      </c>
      <c r="H8" s="15">
        <v>30</v>
      </c>
    </row>
    <row r="9" spans="1:8">
      <c r="E9" s="14">
        <v>45721</v>
      </c>
      <c r="F9" s="13">
        <v>3</v>
      </c>
      <c r="G9" s="13" t="s">
        <v>7</v>
      </c>
      <c r="H9" s="15">
        <v>30</v>
      </c>
    </row>
    <row r="10" spans="1:8">
      <c r="E10" s="14">
        <v>45723</v>
      </c>
      <c r="F10" s="13">
        <v>3</v>
      </c>
      <c r="G10" s="13" t="s">
        <v>7</v>
      </c>
      <c r="H10" s="15">
        <v>30</v>
      </c>
    </row>
    <row r="11" spans="1:8">
      <c r="E11" s="14">
        <v>45689</v>
      </c>
      <c r="F11" s="13" t="s">
        <v>46</v>
      </c>
      <c r="G11" s="13" t="s">
        <v>3</v>
      </c>
      <c r="H11" s="15">
        <v>25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ClearOutput">
                <anchor moveWithCells="1" sizeWithCells="1">
                  <from>
                    <xdr:col>0</xdr:col>
                    <xdr:colOff>1133475</xdr:colOff>
                    <xdr:row>22</xdr:row>
                    <xdr:rowOff>114300</xdr:rowOff>
                  </from>
                  <to>
                    <xdr:col>3</xdr:col>
                    <xdr:colOff>133350</xdr:colOff>
                    <xdr:row>24</xdr:row>
                    <xdr:rowOff>152400</xdr:rowOff>
                  </to>
                </anchor>
              </controlPr>
            </control>
          </mc:Choice>
        </mc:AlternateContent>
        <mc:AlternateContent xmlns:mc="http://schemas.openxmlformats.org/markup-compatibility/2006">
          <mc:Choice Requires="x14">
            <control shapeId="2052" r:id="rId4" name="Button 4">
              <controlPr defaultSize="0" print="0" autoFill="0" autoPict="0" macro="[0]!Button4_Click">
                <anchor moveWithCells="1" sizeWithCells="1">
                  <from>
                    <xdr:col>0</xdr:col>
                    <xdr:colOff>504825</xdr:colOff>
                    <xdr:row>5</xdr:row>
                    <xdr:rowOff>76200</xdr:rowOff>
                  </from>
                  <to>
                    <xdr:col>3</xdr:col>
                    <xdr:colOff>123825</xdr:colOff>
                    <xdr:row>8</xdr:row>
                    <xdr:rowOff>161925</xdr:rowOff>
                  </to>
                </anchor>
              </controlPr>
            </control>
          </mc:Choice>
        </mc:AlternateContent>
        <mc:AlternateContent xmlns:mc="http://schemas.openxmlformats.org/markup-compatibility/2006">
          <mc:Choice Requires="x14">
            <control shapeId="2053" r:id="rId5" name="Button 5">
              <controlPr defaultSize="0" print="0" autoFill="0" autoPict="0" macro="[0]!Button5_Click">
                <anchor moveWithCells="1" sizeWithCells="1">
                  <from>
                    <xdr:col>0</xdr:col>
                    <xdr:colOff>514350</xdr:colOff>
                    <xdr:row>9</xdr:row>
                    <xdr:rowOff>95250</xdr:rowOff>
                  </from>
                  <to>
                    <xdr:col>3</xdr:col>
                    <xdr:colOff>123825</xdr:colOff>
                    <xdr:row>13</xdr:row>
                    <xdr:rowOff>38100</xdr:rowOff>
                  </to>
                </anchor>
              </controlPr>
            </control>
          </mc:Choice>
        </mc:AlternateContent>
        <mc:AlternateContent xmlns:mc="http://schemas.openxmlformats.org/markup-compatibility/2006">
          <mc:Choice Requires="x14">
            <control shapeId="2054" r:id="rId6" name="Button 6">
              <controlPr defaultSize="0" print="0" autoFill="0" autoPict="0" macro="[0]!open_home">
                <anchor moveWithCells="1" sizeWithCells="1">
                  <from>
                    <xdr:col>0</xdr:col>
                    <xdr:colOff>685800</xdr:colOff>
                    <xdr:row>16</xdr:row>
                    <xdr:rowOff>95250</xdr:rowOff>
                  </from>
                  <to>
                    <xdr:col>3</xdr:col>
                    <xdr:colOff>123825</xdr:colOff>
                    <xdr:row>19</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I135"/>
  <sheetViews>
    <sheetView workbookViewId="0">
      <selection activeCell="C136" sqref="C136"/>
    </sheetView>
  </sheetViews>
  <sheetFormatPr defaultColWidth="8.85546875" defaultRowHeight="15"/>
  <cols>
    <col min="1" max="1" width="11.140625" style="4" customWidth="1"/>
    <col min="2" max="2" width="15.140625" style="4" customWidth="1"/>
    <col min="3" max="3" width="13.5703125" style="4" customWidth="1"/>
    <col min="4" max="4" width="12.140625" style="4" customWidth="1"/>
    <col min="5" max="5" width="19.140625" style="4" customWidth="1"/>
    <col min="6" max="6" width="15" style="4" customWidth="1"/>
    <col min="7" max="9" width="8.85546875" style="4" customWidth="1"/>
  </cols>
  <sheetData>
    <row r="1" spans="1:6" ht="22.5" customHeight="1">
      <c r="A1" s="3" t="s">
        <v>42</v>
      </c>
      <c r="B1" s="3" t="s">
        <v>43</v>
      </c>
      <c r="C1" s="3" t="s">
        <v>1</v>
      </c>
      <c r="D1" s="3" t="s">
        <v>2</v>
      </c>
      <c r="E1" s="4" t="s">
        <v>47</v>
      </c>
      <c r="F1" s="4" t="s">
        <v>48</v>
      </c>
    </row>
    <row r="2" spans="1:6">
      <c r="A2" s="5">
        <v>117642</v>
      </c>
      <c r="B2" s="4">
        <v>2</v>
      </c>
      <c r="C2" s="4" t="s">
        <v>49</v>
      </c>
      <c r="D2" s="7">
        <v>2</v>
      </c>
      <c r="E2" s="5"/>
    </row>
    <row r="3" spans="1:6">
      <c r="A3" s="5">
        <v>117642</v>
      </c>
      <c r="B3" s="4">
        <v>2</v>
      </c>
      <c r="C3" s="4" t="s">
        <v>49</v>
      </c>
      <c r="D3" s="7">
        <v>2</v>
      </c>
      <c r="E3" s="6"/>
      <c r="F3" s="5"/>
    </row>
    <row r="4" spans="1:6">
      <c r="A4" s="5">
        <v>117642</v>
      </c>
      <c r="B4" s="4">
        <v>2</v>
      </c>
      <c r="C4" s="4" t="s">
        <v>49</v>
      </c>
      <c r="D4" s="7">
        <v>2</v>
      </c>
      <c r="E4" s="5"/>
    </row>
    <row r="5" spans="1:6">
      <c r="A5" s="5">
        <v>117642</v>
      </c>
      <c r="B5" s="4">
        <v>2</v>
      </c>
      <c r="C5" s="4" t="s">
        <v>49</v>
      </c>
      <c r="D5" s="7">
        <v>2</v>
      </c>
      <c r="E5" s="5"/>
    </row>
    <row r="6" spans="1:6">
      <c r="A6" s="5">
        <v>117642</v>
      </c>
      <c r="B6" s="4">
        <v>2</v>
      </c>
      <c r="C6" s="4" t="s">
        <v>49</v>
      </c>
      <c r="D6" s="7">
        <v>2</v>
      </c>
      <c r="E6" s="5"/>
    </row>
    <row r="7" spans="1:6">
      <c r="A7" s="5">
        <v>117642</v>
      </c>
      <c r="B7" s="4">
        <v>2</v>
      </c>
      <c r="C7" s="4" t="s">
        <v>49</v>
      </c>
      <c r="D7" s="7">
        <v>2</v>
      </c>
      <c r="E7" s="5"/>
    </row>
    <row r="8" spans="1:6">
      <c r="A8" s="5">
        <v>46003</v>
      </c>
      <c r="B8" s="4">
        <v>1</v>
      </c>
      <c r="C8" s="4" t="s">
        <v>25</v>
      </c>
      <c r="D8" s="7">
        <v>1</v>
      </c>
      <c r="E8" s="5"/>
      <c r="F8" s="5"/>
    </row>
    <row r="9" spans="1:6">
      <c r="A9" s="5">
        <v>45782</v>
      </c>
      <c r="B9" s="4">
        <v>5</v>
      </c>
      <c r="C9" s="4" t="s">
        <v>27</v>
      </c>
      <c r="D9" s="7">
        <v>50</v>
      </c>
      <c r="E9" s="4" t="s">
        <v>50</v>
      </c>
      <c r="F9" s="5">
        <v>45813</v>
      </c>
    </row>
    <row r="10" spans="1:6">
      <c r="A10" s="5">
        <v>45782</v>
      </c>
      <c r="B10" s="4">
        <v>5</v>
      </c>
      <c r="C10" s="4" t="s">
        <v>27</v>
      </c>
      <c r="D10" s="7">
        <v>50</v>
      </c>
      <c r="E10" s="4" t="s">
        <v>50</v>
      </c>
      <c r="F10" s="5">
        <v>45752</v>
      </c>
    </row>
    <row r="11" spans="1:6">
      <c r="A11" s="5">
        <v>45782</v>
      </c>
      <c r="B11" s="4">
        <v>5</v>
      </c>
      <c r="C11" s="4" t="s">
        <v>27</v>
      </c>
      <c r="D11" s="7">
        <v>50</v>
      </c>
      <c r="E11" s="4" t="s">
        <v>50</v>
      </c>
      <c r="F11" s="5">
        <v>45782</v>
      </c>
    </row>
    <row r="12" spans="1:6">
      <c r="A12" s="5">
        <v>45782</v>
      </c>
      <c r="B12" s="4">
        <v>5</v>
      </c>
      <c r="C12" s="4" t="s">
        <v>27</v>
      </c>
      <c r="D12" s="7">
        <v>50</v>
      </c>
      <c r="E12" s="4" t="s">
        <v>50</v>
      </c>
      <c r="F12" s="5">
        <v>45843</v>
      </c>
    </row>
    <row r="13" spans="1:6">
      <c r="A13" s="5">
        <v>45782</v>
      </c>
      <c r="B13" s="4">
        <v>5</v>
      </c>
      <c r="C13" s="4" t="s">
        <v>27</v>
      </c>
      <c r="D13" s="7">
        <v>50</v>
      </c>
      <c r="E13" s="4" t="s">
        <v>50</v>
      </c>
      <c r="F13" s="5">
        <v>45753</v>
      </c>
    </row>
    <row r="14" spans="1:6">
      <c r="A14" s="5">
        <v>45782</v>
      </c>
      <c r="B14" s="4">
        <v>5</v>
      </c>
      <c r="C14" s="4" t="s">
        <v>27</v>
      </c>
      <c r="D14" s="7">
        <v>50</v>
      </c>
      <c r="E14" s="4" t="s">
        <v>50</v>
      </c>
      <c r="F14" s="5">
        <v>45753</v>
      </c>
    </row>
    <row r="15" spans="1:6">
      <c r="A15" s="5">
        <v>45782</v>
      </c>
      <c r="B15" s="4">
        <v>5</v>
      </c>
      <c r="C15" s="4" t="s">
        <v>27</v>
      </c>
      <c r="D15" s="7">
        <v>50</v>
      </c>
      <c r="E15" s="4" t="s">
        <v>50</v>
      </c>
      <c r="F15" s="5">
        <v>45754</v>
      </c>
    </row>
    <row r="16" spans="1:6">
      <c r="A16" s="5">
        <v>45782</v>
      </c>
      <c r="B16" s="4">
        <v>5</v>
      </c>
      <c r="C16" s="4" t="s">
        <v>27</v>
      </c>
      <c r="D16" s="7">
        <v>50</v>
      </c>
      <c r="E16" s="4" t="s">
        <v>50</v>
      </c>
      <c r="F16" s="5">
        <v>45755</v>
      </c>
    </row>
    <row r="17" spans="1:6">
      <c r="A17" s="5">
        <v>45782</v>
      </c>
      <c r="B17" s="4">
        <v>5</v>
      </c>
      <c r="C17" s="4" t="s">
        <v>27</v>
      </c>
      <c r="D17" s="7">
        <v>50</v>
      </c>
      <c r="E17" s="4" t="s">
        <v>50</v>
      </c>
      <c r="F17" s="5">
        <v>45816</v>
      </c>
    </row>
    <row r="18" spans="1:6">
      <c r="A18" s="5">
        <v>45782</v>
      </c>
      <c r="B18" s="4">
        <v>5</v>
      </c>
      <c r="C18" s="4" t="s">
        <v>27</v>
      </c>
      <c r="D18" s="7">
        <v>50</v>
      </c>
      <c r="E18" s="4" t="s">
        <v>50</v>
      </c>
      <c r="F18" s="5">
        <v>45755</v>
      </c>
    </row>
    <row r="19" spans="1:6">
      <c r="A19" s="5">
        <v>45814</v>
      </c>
      <c r="B19" s="4">
        <v>6</v>
      </c>
      <c r="C19" s="4" t="s">
        <v>25</v>
      </c>
      <c r="D19" s="7">
        <v>100</v>
      </c>
      <c r="E19" s="4" t="s">
        <v>50</v>
      </c>
      <c r="F19" s="5">
        <v>45814</v>
      </c>
    </row>
    <row r="20" spans="1:6">
      <c r="A20" s="5">
        <v>45814</v>
      </c>
      <c r="B20" s="4">
        <v>6</v>
      </c>
      <c r="C20" s="4" t="s">
        <v>25</v>
      </c>
      <c r="D20" s="7">
        <v>100</v>
      </c>
      <c r="E20" s="4" t="s">
        <v>50</v>
      </c>
      <c r="F20" s="5">
        <v>45844</v>
      </c>
    </row>
    <row r="21" spans="1:6">
      <c r="A21" s="5">
        <v>45814</v>
      </c>
      <c r="B21" s="4">
        <v>6</v>
      </c>
      <c r="C21" s="4" t="s">
        <v>25</v>
      </c>
      <c r="D21" s="7">
        <v>100</v>
      </c>
      <c r="E21" s="4" t="s">
        <v>50</v>
      </c>
      <c r="F21" s="5">
        <v>45783</v>
      </c>
    </row>
    <row r="22" spans="1:6">
      <c r="A22" s="5">
        <v>45814</v>
      </c>
      <c r="B22" s="4">
        <v>6</v>
      </c>
      <c r="C22" s="4" t="s">
        <v>25</v>
      </c>
      <c r="D22" s="7">
        <v>100</v>
      </c>
      <c r="E22" s="4" t="s">
        <v>50</v>
      </c>
      <c r="F22" s="5">
        <v>45813</v>
      </c>
    </row>
    <row r="23" spans="1:6">
      <c r="A23" s="5">
        <v>45814</v>
      </c>
      <c r="B23" s="4">
        <v>6</v>
      </c>
      <c r="C23" s="4" t="s">
        <v>25</v>
      </c>
      <c r="D23" s="7">
        <v>100</v>
      </c>
      <c r="E23" s="4" t="s">
        <v>50</v>
      </c>
      <c r="F23" s="5">
        <v>45815</v>
      </c>
    </row>
    <row r="24" spans="1:6">
      <c r="A24" s="5">
        <v>45814</v>
      </c>
      <c r="B24" s="4">
        <v>6</v>
      </c>
      <c r="C24" s="4" t="s">
        <v>25</v>
      </c>
      <c r="D24" s="7">
        <v>100</v>
      </c>
      <c r="E24" s="4" t="s">
        <v>50</v>
      </c>
      <c r="F24" s="5">
        <v>45812</v>
      </c>
    </row>
    <row r="25" spans="1:6">
      <c r="A25" s="5">
        <v>45814</v>
      </c>
      <c r="B25" s="4">
        <v>6</v>
      </c>
      <c r="C25" s="4" t="s">
        <v>25</v>
      </c>
      <c r="D25" s="7">
        <v>100</v>
      </c>
      <c r="E25" s="4" t="s">
        <v>50</v>
      </c>
      <c r="F25" s="5">
        <v>45842</v>
      </c>
    </row>
    <row r="26" spans="1:6">
      <c r="A26" s="5">
        <v>45814</v>
      </c>
      <c r="B26" s="4">
        <v>6</v>
      </c>
      <c r="C26" s="4" t="s">
        <v>25</v>
      </c>
      <c r="D26" s="7">
        <v>100</v>
      </c>
      <c r="E26" s="4" t="s">
        <v>50</v>
      </c>
      <c r="F26" s="5">
        <v>45477</v>
      </c>
    </row>
    <row r="27" spans="1:6">
      <c r="A27" s="5">
        <v>45814</v>
      </c>
      <c r="B27" s="4">
        <v>6</v>
      </c>
      <c r="C27" s="4" t="s">
        <v>25</v>
      </c>
      <c r="D27" s="7">
        <v>100</v>
      </c>
      <c r="E27" s="4" t="s">
        <v>50</v>
      </c>
      <c r="F27" s="5">
        <v>46207</v>
      </c>
    </row>
    <row r="28" spans="1:6">
      <c r="A28" s="5">
        <v>45814</v>
      </c>
      <c r="B28" s="4">
        <v>6</v>
      </c>
      <c r="C28" s="4" t="s">
        <v>25</v>
      </c>
      <c r="D28" s="7">
        <v>100</v>
      </c>
      <c r="E28" s="4" t="s">
        <v>50</v>
      </c>
      <c r="F28" s="5">
        <v>45842</v>
      </c>
    </row>
    <row r="29" spans="1:6">
      <c r="A29" s="5">
        <v>45845</v>
      </c>
      <c r="B29" s="4">
        <v>7</v>
      </c>
      <c r="C29" s="4" t="s">
        <v>28</v>
      </c>
      <c r="D29" s="7">
        <v>10</v>
      </c>
      <c r="E29" s="4" t="s">
        <v>50</v>
      </c>
      <c r="F29" s="5">
        <v>45847</v>
      </c>
    </row>
    <row r="30" spans="1:6">
      <c r="A30" s="5">
        <f>A29+1</f>
        <v>45846</v>
      </c>
      <c r="B30" s="4">
        <v>7</v>
      </c>
      <c r="C30" s="4" t="s">
        <v>28</v>
      </c>
      <c r="D30" s="7">
        <v>10</v>
      </c>
      <c r="E30" s="4" t="s">
        <v>50</v>
      </c>
      <c r="F30" s="5">
        <v>45907</v>
      </c>
    </row>
    <row r="31" spans="1:6">
      <c r="A31" s="5">
        <v>45877</v>
      </c>
      <c r="B31" s="4">
        <v>8</v>
      </c>
      <c r="C31" s="4" t="s">
        <v>25</v>
      </c>
      <c r="D31" s="7">
        <v>200</v>
      </c>
      <c r="E31" s="4" t="s">
        <v>50</v>
      </c>
      <c r="F31" s="5">
        <v>45880</v>
      </c>
    </row>
    <row r="32" spans="1:6">
      <c r="A32" s="5">
        <f>A31+1</f>
        <v>45878</v>
      </c>
      <c r="B32" s="4">
        <v>8</v>
      </c>
      <c r="C32" s="4" t="s">
        <v>25</v>
      </c>
      <c r="D32" s="7">
        <v>200</v>
      </c>
      <c r="E32" s="4" t="s">
        <v>50</v>
      </c>
      <c r="F32" s="5">
        <v>45880</v>
      </c>
    </row>
    <row r="33" spans="1:6">
      <c r="A33" s="5">
        <v>45658</v>
      </c>
      <c r="B33" s="4">
        <v>1</v>
      </c>
      <c r="C33" s="4" t="s">
        <v>26</v>
      </c>
      <c r="D33" s="7">
        <v>45</v>
      </c>
      <c r="E33" s="4" t="s">
        <v>50</v>
      </c>
      <c r="F33" s="5">
        <v>45662</v>
      </c>
    </row>
    <row r="34" spans="1:6">
      <c r="A34" s="5">
        <f>A33+1</f>
        <v>45659</v>
      </c>
      <c r="B34" s="4">
        <v>1</v>
      </c>
      <c r="C34" s="4" t="s">
        <v>26</v>
      </c>
      <c r="D34" s="7">
        <v>45</v>
      </c>
      <c r="E34" s="4" t="s">
        <v>50</v>
      </c>
      <c r="F34" s="5">
        <v>45662</v>
      </c>
    </row>
    <row r="35" spans="1:6">
      <c r="A35" s="5">
        <f>A33+1</f>
        <v>45659</v>
      </c>
      <c r="B35" s="4">
        <v>1</v>
      </c>
      <c r="C35" s="4" t="s">
        <v>26</v>
      </c>
      <c r="D35" s="7">
        <v>45</v>
      </c>
      <c r="E35" s="4" t="s">
        <v>50</v>
      </c>
      <c r="F35" s="5">
        <v>45662</v>
      </c>
    </row>
    <row r="36" spans="1:6">
      <c r="A36" s="5">
        <f>A33+1</f>
        <v>45659</v>
      </c>
      <c r="B36" s="4">
        <v>1</v>
      </c>
      <c r="C36" s="4" t="s">
        <v>26</v>
      </c>
      <c r="D36" s="7">
        <v>45</v>
      </c>
      <c r="E36" s="4" t="s">
        <v>50</v>
      </c>
      <c r="F36" s="5">
        <v>45662</v>
      </c>
    </row>
    <row r="37" spans="1:6">
      <c r="A37" s="5">
        <f>A33+1</f>
        <v>45659</v>
      </c>
      <c r="B37" s="4">
        <v>1</v>
      </c>
      <c r="C37" s="4" t="s">
        <v>26</v>
      </c>
      <c r="D37" s="7">
        <v>45</v>
      </c>
      <c r="E37" s="4" t="s">
        <v>50</v>
      </c>
      <c r="F37" s="5">
        <v>45662</v>
      </c>
    </row>
    <row r="38" spans="1:6">
      <c r="A38" s="5">
        <v>45690</v>
      </c>
      <c r="B38" s="4">
        <v>2</v>
      </c>
      <c r="C38" s="4" t="s">
        <v>26</v>
      </c>
      <c r="D38" s="7">
        <v>24</v>
      </c>
      <c r="E38" s="4" t="s">
        <v>50</v>
      </c>
      <c r="F38" s="5">
        <v>45694</v>
      </c>
    </row>
    <row r="39" spans="1:6">
      <c r="A39" s="5">
        <f>A38+1</f>
        <v>45691</v>
      </c>
      <c r="B39" s="4">
        <v>2</v>
      </c>
      <c r="C39" s="4" t="s">
        <v>26</v>
      </c>
      <c r="D39" s="7">
        <v>24</v>
      </c>
      <c r="E39" s="4" t="s">
        <v>50</v>
      </c>
      <c r="F39" s="5">
        <v>45694</v>
      </c>
    </row>
    <row r="40" spans="1:6">
      <c r="A40" s="5">
        <f>A38+2</f>
        <v>45692</v>
      </c>
      <c r="B40" s="4">
        <v>2</v>
      </c>
      <c r="C40" s="4" t="s">
        <v>26</v>
      </c>
      <c r="D40" s="7">
        <v>24</v>
      </c>
      <c r="E40" s="4" t="s">
        <v>50</v>
      </c>
      <c r="F40" s="5">
        <v>45694</v>
      </c>
    </row>
    <row r="41" spans="1:6">
      <c r="A41" s="5">
        <f>A38+3</f>
        <v>45693</v>
      </c>
      <c r="B41" s="4">
        <v>2</v>
      </c>
      <c r="C41" s="4" t="s">
        <v>26</v>
      </c>
      <c r="D41" s="7">
        <v>24</v>
      </c>
      <c r="E41" s="4" t="s">
        <v>50</v>
      </c>
      <c r="F41" s="5">
        <v>45694</v>
      </c>
    </row>
    <row r="42" spans="1:6">
      <c r="A42" s="5">
        <f>A38+4</f>
        <v>45694</v>
      </c>
      <c r="B42" s="4">
        <v>2</v>
      </c>
      <c r="C42" s="4" t="s">
        <v>26</v>
      </c>
      <c r="D42" s="7">
        <v>24</v>
      </c>
      <c r="E42" s="4" t="s">
        <v>50</v>
      </c>
      <c r="F42" s="5">
        <v>45694</v>
      </c>
    </row>
    <row r="43" spans="1:6">
      <c r="A43" s="5">
        <v>45719</v>
      </c>
      <c r="B43" s="4">
        <v>3</v>
      </c>
      <c r="C43" s="4" t="s">
        <v>28</v>
      </c>
      <c r="D43" s="7">
        <v>205</v>
      </c>
      <c r="E43" s="4" t="s">
        <v>50</v>
      </c>
      <c r="F43" s="5">
        <v>45721</v>
      </c>
    </row>
    <row r="44" spans="1:6">
      <c r="A44" s="5">
        <f>A43+1</f>
        <v>45720</v>
      </c>
      <c r="B44" s="4">
        <v>3</v>
      </c>
      <c r="C44" s="4" t="s">
        <v>28</v>
      </c>
      <c r="D44" s="7">
        <v>205</v>
      </c>
      <c r="E44" s="4" t="s">
        <v>50</v>
      </c>
      <c r="F44" s="5">
        <v>45721</v>
      </c>
    </row>
    <row r="45" spans="1:6">
      <c r="A45" s="5">
        <f>A44+1</f>
        <v>45721</v>
      </c>
      <c r="B45" s="4">
        <v>3</v>
      </c>
      <c r="C45" s="4" t="s">
        <v>28</v>
      </c>
      <c r="D45" s="7">
        <v>205</v>
      </c>
      <c r="E45" s="4" t="s">
        <v>50</v>
      </c>
      <c r="F45" s="5">
        <v>45721</v>
      </c>
    </row>
    <row r="46" spans="1:6">
      <c r="A46" s="5">
        <f>A45+1</f>
        <v>45722</v>
      </c>
      <c r="B46" s="4">
        <v>3</v>
      </c>
      <c r="C46" s="4" t="s">
        <v>28</v>
      </c>
      <c r="D46" s="7">
        <v>205</v>
      </c>
      <c r="E46" s="4" t="s">
        <v>50</v>
      </c>
      <c r="F46" s="5">
        <v>45721</v>
      </c>
    </row>
    <row r="47" spans="1:6">
      <c r="A47" s="5">
        <f>A46+1</f>
        <v>45723</v>
      </c>
      <c r="B47" s="4">
        <v>3</v>
      </c>
      <c r="C47" s="4" t="s">
        <v>28</v>
      </c>
      <c r="D47" s="7">
        <v>205</v>
      </c>
      <c r="E47" s="4" t="s">
        <v>50</v>
      </c>
      <c r="F47" s="5">
        <v>45721</v>
      </c>
    </row>
    <row r="48" spans="1:6">
      <c r="A48" s="5">
        <v>45782</v>
      </c>
      <c r="B48" s="4">
        <v>5</v>
      </c>
      <c r="C48" s="4" t="s">
        <v>26</v>
      </c>
      <c r="D48" s="7">
        <v>2</v>
      </c>
      <c r="E48" s="4" t="s">
        <v>50</v>
      </c>
      <c r="F48" s="5">
        <v>45787</v>
      </c>
    </row>
    <row r="49" spans="1:6">
      <c r="A49" s="5">
        <f>A48+1</f>
        <v>45783</v>
      </c>
      <c r="B49" s="4">
        <v>5</v>
      </c>
      <c r="C49" s="4" t="s">
        <v>26</v>
      </c>
      <c r="D49" s="7">
        <v>2</v>
      </c>
      <c r="E49" s="4" t="s">
        <v>50</v>
      </c>
      <c r="F49" s="5">
        <v>45787</v>
      </c>
    </row>
    <row r="50" spans="1:6">
      <c r="A50" s="5">
        <f>A49+1</f>
        <v>45784</v>
      </c>
      <c r="B50" s="4">
        <v>5</v>
      </c>
      <c r="C50" s="4" t="s">
        <v>26</v>
      </c>
      <c r="D50" s="7">
        <v>2</v>
      </c>
      <c r="E50" s="4" t="s">
        <v>50</v>
      </c>
      <c r="F50" s="5">
        <v>45787</v>
      </c>
    </row>
    <row r="51" spans="1:6">
      <c r="A51" s="5">
        <f>A50+1</f>
        <v>45785</v>
      </c>
      <c r="B51" s="4">
        <v>5</v>
      </c>
      <c r="C51" s="4" t="s">
        <v>26</v>
      </c>
      <c r="D51" s="7">
        <v>2</v>
      </c>
      <c r="E51" s="4" t="s">
        <v>50</v>
      </c>
      <c r="F51" s="5">
        <v>45787</v>
      </c>
    </row>
    <row r="52" spans="1:6">
      <c r="A52" s="5">
        <f>A51+1</f>
        <v>45786</v>
      </c>
      <c r="B52" s="4">
        <v>5</v>
      </c>
      <c r="C52" s="4" t="s">
        <v>26</v>
      </c>
      <c r="D52" s="7">
        <v>2</v>
      </c>
      <c r="E52" s="4" t="s">
        <v>50</v>
      </c>
      <c r="F52" s="5">
        <v>45787</v>
      </c>
    </row>
    <row r="53" spans="1:6">
      <c r="A53" s="5">
        <v>45814</v>
      </c>
      <c r="B53" s="4">
        <v>6</v>
      </c>
      <c r="C53" s="4" t="s">
        <v>26</v>
      </c>
      <c r="D53" s="7">
        <v>48</v>
      </c>
      <c r="E53" s="4" t="s">
        <v>50</v>
      </c>
      <c r="F53" s="5">
        <v>45817</v>
      </c>
    </row>
    <row r="54" spans="1:6">
      <c r="A54" s="5">
        <f>A53+1</f>
        <v>45815</v>
      </c>
      <c r="B54" s="4">
        <v>6</v>
      </c>
      <c r="C54" s="4" t="s">
        <v>26</v>
      </c>
      <c r="D54" s="7">
        <v>48</v>
      </c>
      <c r="E54" s="4" t="s">
        <v>50</v>
      </c>
      <c r="F54" s="5">
        <v>45817</v>
      </c>
    </row>
    <row r="55" spans="1:6">
      <c r="A55" s="5">
        <f>A54+1</f>
        <v>45816</v>
      </c>
      <c r="B55" s="4">
        <v>6</v>
      </c>
      <c r="C55" s="4" t="s">
        <v>26</v>
      </c>
      <c r="D55" s="7">
        <v>48</v>
      </c>
      <c r="E55" s="4" t="s">
        <v>50</v>
      </c>
      <c r="F55" s="5">
        <v>45817</v>
      </c>
    </row>
    <row r="56" spans="1:6">
      <c r="A56" s="5">
        <f>A55+1</f>
        <v>45817</v>
      </c>
      <c r="B56" s="4">
        <v>6</v>
      </c>
      <c r="C56" s="4" t="s">
        <v>26</v>
      </c>
      <c r="D56" s="7">
        <v>48</v>
      </c>
      <c r="E56" s="4" t="s">
        <v>50</v>
      </c>
      <c r="F56" s="5">
        <v>45817</v>
      </c>
    </row>
    <row r="57" spans="1:6">
      <c r="A57" s="5">
        <v>45863</v>
      </c>
      <c r="B57" s="4">
        <v>7</v>
      </c>
      <c r="C57" s="4" t="s">
        <v>27</v>
      </c>
      <c r="D57" s="7">
        <v>210</v>
      </c>
      <c r="E57" s="4" t="s">
        <v>51</v>
      </c>
      <c r="F57" s="5">
        <v>45893</v>
      </c>
    </row>
    <row r="58" spans="1:6">
      <c r="A58" s="5">
        <v>45845</v>
      </c>
      <c r="B58" s="4">
        <v>7</v>
      </c>
      <c r="C58" s="4" t="s">
        <v>27</v>
      </c>
      <c r="D58" s="7">
        <v>405</v>
      </c>
      <c r="E58" s="4" t="s">
        <v>51</v>
      </c>
      <c r="F58" s="5">
        <v>45875</v>
      </c>
    </row>
    <row r="59" spans="1:6">
      <c r="A59" s="5">
        <f>EDATE(A58, 1)</f>
        <v>45876</v>
      </c>
      <c r="B59" s="4">
        <v>7</v>
      </c>
      <c r="C59" s="4" t="s">
        <v>27</v>
      </c>
      <c r="D59" s="7">
        <v>405</v>
      </c>
      <c r="E59" s="4" t="s">
        <v>51</v>
      </c>
      <c r="F59" s="5">
        <v>45875</v>
      </c>
    </row>
    <row r="60" spans="1:6">
      <c r="A60" s="5">
        <v>45877</v>
      </c>
      <c r="B60" s="4">
        <v>8</v>
      </c>
      <c r="C60" s="4" t="s">
        <v>52</v>
      </c>
      <c r="D60" s="7">
        <v>545</v>
      </c>
      <c r="E60" s="4" t="s">
        <v>53</v>
      </c>
      <c r="F60" s="5">
        <v>46913</v>
      </c>
    </row>
    <row r="61" spans="1:6">
      <c r="A61" s="5">
        <f>DATE(YEAR(A60)+1, MONTH(A60), DAY(A60))</f>
        <v>46242</v>
      </c>
      <c r="B61" s="4">
        <v>8</v>
      </c>
      <c r="C61" s="4" t="s">
        <v>52</v>
      </c>
      <c r="D61" s="7">
        <v>545</v>
      </c>
      <c r="E61" s="4" t="s">
        <v>53</v>
      </c>
      <c r="F61" s="5">
        <v>46913</v>
      </c>
    </row>
    <row r="62" spans="1:6">
      <c r="A62" s="5">
        <f>DATE(YEAR(A61)+1, MONTH(A61), DAY(A61))</f>
        <v>46607</v>
      </c>
      <c r="B62" s="4">
        <v>8</v>
      </c>
      <c r="C62" s="4" t="s">
        <v>52</v>
      </c>
      <c r="D62" s="7">
        <v>545</v>
      </c>
      <c r="E62" s="4" t="s">
        <v>53</v>
      </c>
      <c r="F62" s="5">
        <v>46913</v>
      </c>
    </row>
    <row r="63" spans="1:6">
      <c r="A63" s="5">
        <f>DATE(YEAR(A62)+1, MONTH(A62), DAY(A62))</f>
        <v>46973</v>
      </c>
      <c r="B63" s="4">
        <v>8</v>
      </c>
      <c r="C63" s="4" t="s">
        <v>52</v>
      </c>
      <c r="D63" s="7">
        <v>545</v>
      </c>
      <c r="E63" s="4" t="s">
        <v>53</v>
      </c>
      <c r="F63" s="5">
        <v>46913</v>
      </c>
    </row>
    <row r="64" spans="1:6">
      <c r="A64" s="5">
        <v>45909</v>
      </c>
      <c r="B64" s="4">
        <v>9</v>
      </c>
      <c r="C64" s="4" t="s">
        <v>25</v>
      </c>
      <c r="D64" s="7">
        <v>300</v>
      </c>
      <c r="E64" s="4" t="s">
        <v>51</v>
      </c>
      <c r="F64" s="5">
        <v>45999</v>
      </c>
    </row>
    <row r="65" spans="1:6">
      <c r="A65" s="5">
        <v>45877</v>
      </c>
      <c r="B65" s="4">
        <v>8</v>
      </c>
      <c r="C65" s="4" t="s">
        <v>28</v>
      </c>
      <c r="D65" s="7">
        <v>560</v>
      </c>
      <c r="E65" s="4" t="s">
        <v>51</v>
      </c>
      <c r="F65" s="5">
        <v>45966</v>
      </c>
    </row>
    <row r="66" spans="1:6">
      <c r="A66" s="5">
        <f>EDATE(A65, 1)</f>
        <v>45908</v>
      </c>
      <c r="B66" s="4">
        <v>8</v>
      </c>
      <c r="C66" s="4" t="s">
        <v>28</v>
      </c>
      <c r="D66" s="7">
        <v>560</v>
      </c>
      <c r="E66" s="4" t="s">
        <v>51</v>
      </c>
      <c r="F66" s="5">
        <v>45966</v>
      </c>
    </row>
    <row r="67" spans="1:6">
      <c r="A67" s="5">
        <f>EDATE(A66, 1)</f>
        <v>45938</v>
      </c>
      <c r="B67" s="4">
        <v>8</v>
      </c>
      <c r="C67" s="4" t="s">
        <v>28</v>
      </c>
      <c r="D67" s="7">
        <v>560</v>
      </c>
      <c r="E67" s="4" t="s">
        <v>51</v>
      </c>
      <c r="F67" s="5">
        <v>45966</v>
      </c>
    </row>
    <row r="68" spans="1:6">
      <c r="A68" s="5">
        <f>EDATE(A67, 1)</f>
        <v>45969</v>
      </c>
      <c r="B68" s="4">
        <v>8</v>
      </c>
      <c r="C68" s="4" t="s">
        <v>28</v>
      </c>
      <c r="D68" s="7">
        <v>560</v>
      </c>
      <c r="E68" s="4" t="s">
        <v>51</v>
      </c>
      <c r="F68" s="5">
        <v>45966</v>
      </c>
    </row>
    <row r="69" spans="1:6">
      <c r="A69" s="5">
        <v>45845</v>
      </c>
      <c r="B69" s="4">
        <v>7</v>
      </c>
      <c r="C69" s="4" t="s">
        <v>27</v>
      </c>
      <c r="D69" s="7">
        <v>205</v>
      </c>
      <c r="E69" s="4" t="s">
        <v>51</v>
      </c>
      <c r="F69" s="5">
        <v>45935</v>
      </c>
    </row>
    <row r="70" spans="1:6">
      <c r="A70" s="5">
        <f>EDATE(A69, 1)</f>
        <v>45876</v>
      </c>
      <c r="B70" s="4">
        <v>7</v>
      </c>
      <c r="C70" s="4" t="s">
        <v>27</v>
      </c>
      <c r="D70" s="7">
        <v>205</v>
      </c>
      <c r="E70" s="4" t="s">
        <v>51</v>
      </c>
      <c r="F70" s="5">
        <v>45935</v>
      </c>
    </row>
    <row r="71" spans="1:6">
      <c r="A71" s="5">
        <f>EDATE(A70, 1)</f>
        <v>45907</v>
      </c>
      <c r="B71" s="4">
        <v>7</v>
      </c>
      <c r="C71" s="4" t="s">
        <v>27</v>
      </c>
      <c r="D71" s="7">
        <v>205</v>
      </c>
      <c r="E71" s="4" t="s">
        <v>51</v>
      </c>
      <c r="F71" s="5">
        <v>45935</v>
      </c>
    </row>
    <row r="72" spans="1:6">
      <c r="A72" s="5">
        <v>45834</v>
      </c>
      <c r="B72" s="4">
        <v>6</v>
      </c>
      <c r="C72" s="4" t="s">
        <v>26</v>
      </c>
      <c r="D72" s="7">
        <v>5</v>
      </c>
      <c r="E72" s="4" t="s">
        <v>50</v>
      </c>
      <c r="F72" s="5">
        <v>45843</v>
      </c>
    </row>
    <row r="73" spans="1:6">
      <c r="A73" s="5">
        <f t="shared" ref="A73:A81" si="0">A72+1</f>
        <v>45835</v>
      </c>
      <c r="B73" s="4">
        <v>6</v>
      </c>
      <c r="C73" s="4" t="s">
        <v>26</v>
      </c>
      <c r="D73" s="7">
        <v>5</v>
      </c>
      <c r="E73" s="4" t="s">
        <v>50</v>
      </c>
      <c r="F73" s="5">
        <v>45843</v>
      </c>
    </row>
    <row r="74" spans="1:6">
      <c r="A74" s="5">
        <f t="shared" si="0"/>
        <v>45836</v>
      </c>
      <c r="B74" s="4">
        <v>6</v>
      </c>
      <c r="C74" s="4" t="s">
        <v>26</v>
      </c>
      <c r="D74" s="7">
        <v>5</v>
      </c>
      <c r="E74" s="4" t="s">
        <v>50</v>
      </c>
      <c r="F74" s="5">
        <v>45843</v>
      </c>
    </row>
    <row r="75" spans="1:6">
      <c r="A75" s="5">
        <f t="shared" si="0"/>
        <v>45837</v>
      </c>
      <c r="B75" s="4">
        <v>6</v>
      </c>
      <c r="C75" s="4" t="s">
        <v>26</v>
      </c>
      <c r="D75" s="7">
        <v>5</v>
      </c>
      <c r="E75" s="4" t="s">
        <v>50</v>
      </c>
      <c r="F75" s="5">
        <v>45843</v>
      </c>
    </row>
    <row r="76" spans="1:6">
      <c r="A76" s="5">
        <f t="shared" si="0"/>
        <v>45838</v>
      </c>
      <c r="B76" s="4">
        <v>6</v>
      </c>
      <c r="C76" s="4" t="s">
        <v>26</v>
      </c>
      <c r="D76" s="7">
        <v>5</v>
      </c>
      <c r="E76" s="4" t="s">
        <v>50</v>
      </c>
      <c r="F76" s="5">
        <v>45843</v>
      </c>
    </row>
    <row r="77" spans="1:6">
      <c r="A77" s="5">
        <f t="shared" si="0"/>
        <v>45839</v>
      </c>
      <c r="B77" s="4">
        <v>6</v>
      </c>
      <c r="C77" s="4" t="s">
        <v>26</v>
      </c>
      <c r="D77" s="7">
        <v>5</v>
      </c>
      <c r="E77" s="4" t="s">
        <v>50</v>
      </c>
      <c r="F77" s="5">
        <v>45843</v>
      </c>
    </row>
    <row r="78" spans="1:6">
      <c r="A78" s="5">
        <f t="shared" si="0"/>
        <v>45840</v>
      </c>
      <c r="B78" s="4">
        <v>6</v>
      </c>
      <c r="C78" s="4" t="s">
        <v>26</v>
      </c>
      <c r="D78" s="7">
        <v>5</v>
      </c>
      <c r="E78" s="4" t="s">
        <v>50</v>
      </c>
      <c r="F78" s="5">
        <v>45843</v>
      </c>
    </row>
    <row r="79" spans="1:6">
      <c r="A79" s="5">
        <f t="shared" si="0"/>
        <v>45841</v>
      </c>
      <c r="B79" s="4">
        <v>6</v>
      </c>
      <c r="C79" s="4" t="s">
        <v>26</v>
      </c>
      <c r="D79" s="7">
        <v>5</v>
      </c>
      <c r="E79" s="4" t="s">
        <v>50</v>
      </c>
      <c r="F79" s="5">
        <v>45843</v>
      </c>
    </row>
    <row r="80" spans="1:6">
      <c r="A80" s="5">
        <f t="shared" si="0"/>
        <v>45842</v>
      </c>
      <c r="B80" s="4">
        <v>6</v>
      </c>
      <c r="C80" s="4" t="s">
        <v>26</v>
      </c>
      <c r="D80" s="7">
        <v>5</v>
      </c>
      <c r="E80" s="4" t="s">
        <v>50</v>
      </c>
      <c r="F80" s="5">
        <v>45843</v>
      </c>
    </row>
    <row r="81" spans="1:6">
      <c r="A81" s="5">
        <f t="shared" si="0"/>
        <v>45843</v>
      </c>
      <c r="B81" s="4">
        <v>6</v>
      </c>
      <c r="C81" s="4" t="s">
        <v>26</v>
      </c>
      <c r="D81" s="7">
        <v>5</v>
      </c>
      <c r="E81" s="4" t="s">
        <v>50</v>
      </c>
      <c r="F81" s="5">
        <v>45843</v>
      </c>
    </row>
    <row r="82" spans="1:6">
      <c r="A82" s="5">
        <v>45940</v>
      </c>
      <c r="B82" s="4">
        <v>5</v>
      </c>
      <c r="C82" s="4" t="s">
        <v>26</v>
      </c>
      <c r="D82" s="7">
        <v>4</v>
      </c>
      <c r="E82" s="4" t="s">
        <v>51</v>
      </c>
      <c r="F82" s="5">
        <v>46084</v>
      </c>
    </row>
    <row r="83" spans="1:6">
      <c r="A83" s="5">
        <f>EDATE(A82, 1)</f>
        <v>45971</v>
      </c>
      <c r="B83" s="4">
        <v>5</v>
      </c>
      <c r="C83" s="4" t="s">
        <v>26</v>
      </c>
      <c r="D83" s="7">
        <v>4</v>
      </c>
      <c r="E83" s="4" t="s">
        <v>51</v>
      </c>
      <c r="F83" s="5">
        <v>46084</v>
      </c>
    </row>
    <row r="84" spans="1:6">
      <c r="A84" s="5">
        <f>EDATE(A83, 1)</f>
        <v>46001</v>
      </c>
      <c r="B84" s="4">
        <v>5</v>
      </c>
      <c r="C84" s="4" t="s">
        <v>26</v>
      </c>
      <c r="D84" s="7">
        <v>4</v>
      </c>
      <c r="E84" s="4" t="s">
        <v>51</v>
      </c>
      <c r="F84" s="5">
        <v>46084</v>
      </c>
    </row>
    <row r="85" spans="1:6">
      <c r="A85" s="5">
        <f>EDATE(A84, 1)</f>
        <v>46032</v>
      </c>
      <c r="B85" s="4">
        <v>5</v>
      </c>
      <c r="C85" s="4" t="s">
        <v>26</v>
      </c>
      <c r="D85" s="7">
        <v>4</v>
      </c>
      <c r="E85" s="4" t="s">
        <v>51</v>
      </c>
      <c r="F85" s="5">
        <v>46084</v>
      </c>
    </row>
    <row r="86" spans="1:6">
      <c r="A86" s="5">
        <f>EDATE(A85, 1)</f>
        <v>46063</v>
      </c>
      <c r="B86" s="4">
        <v>5</v>
      </c>
      <c r="C86" s="4" t="s">
        <v>26</v>
      </c>
      <c r="D86" s="7">
        <v>4</v>
      </c>
      <c r="E86" s="4" t="s">
        <v>51</v>
      </c>
      <c r="F86" s="5">
        <v>46084</v>
      </c>
    </row>
    <row r="87" spans="1:6">
      <c r="A87" s="5">
        <v>45751</v>
      </c>
      <c r="B87" s="4">
        <v>4</v>
      </c>
      <c r="C87" s="4" t="s">
        <v>26</v>
      </c>
      <c r="D87" s="7">
        <v>2</v>
      </c>
    </row>
    <row r="88" spans="1:6">
      <c r="A88" s="5">
        <v>45751</v>
      </c>
      <c r="B88" s="4">
        <v>4</v>
      </c>
      <c r="C88" s="4" t="s">
        <v>26</v>
      </c>
      <c r="D88" s="7">
        <v>2</v>
      </c>
    </row>
    <row r="89" spans="1:6">
      <c r="A89" s="5">
        <v>45751</v>
      </c>
      <c r="B89" s="4">
        <v>4</v>
      </c>
      <c r="C89" s="4" t="s">
        <v>26</v>
      </c>
      <c r="D89" s="7">
        <v>2</v>
      </c>
      <c r="E89" s="4" t="s">
        <v>50</v>
      </c>
      <c r="F89" s="5">
        <v>45753</v>
      </c>
    </row>
    <row r="90" spans="1:6">
      <c r="A90" s="5">
        <f>A89+1</f>
        <v>45752</v>
      </c>
      <c r="B90" s="4">
        <v>4</v>
      </c>
      <c r="C90" s="4" t="s">
        <v>26</v>
      </c>
      <c r="D90" s="7">
        <v>2</v>
      </c>
      <c r="E90" s="4" t="s">
        <v>50</v>
      </c>
      <c r="F90" s="5">
        <v>45753</v>
      </c>
    </row>
    <row r="91" spans="1:6">
      <c r="A91" s="5">
        <f>A90+1</f>
        <v>45753</v>
      </c>
      <c r="B91" s="4">
        <v>4</v>
      </c>
      <c r="C91" s="4" t="s">
        <v>26</v>
      </c>
      <c r="D91" s="7">
        <v>2</v>
      </c>
      <c r="E91" s="4" t="s">
        <v>50</v>
      </c>
      <c r="F91" s="5">
        <v>45753</v>
      </c>
    </row>
    <row r="92" spans="1:6">
      <c r="A92" s="5">
        <v>45751</v>
      </c>
      <c r="B92" s="4">
        <v>4</v>
      </c>
      <c r="C92" s="4" t="s">
        <v>26</v>
      </c>
      <c r="D92" s="7">
        <v>3</v>
      </c>
    </row>
    <row r="93" spans="1:6">
      <c r="A93" s="5">
        <v>45751</v>
      </c>
      <c r="B93" s="4">
        <v>4</v>
      </c>
      <c r="C93" s="4" t="s">
        <v>26</v>
      </c>
      <c r="D93" s="7">
        <v>3</v>
      </c>
    </row>
    <row r="94" spans="1:6">
      <c r="A94" s="5">
        <v>45751</v>
      </c>
      <c r="B94" s="4">
        <v>4</v>
      </c>
      <c r="C94" s="4" t="s">
        <v>26</v>
      </c>
      <c r="D94" s="7">
        <v>3</v>
      </c>
    </row>
    <row r="95" spans="1:6">
      <c r="A95" s="5">
        <v>45751</v>
      </c>
      <c r="B95" s="4">
        <v>4</v>
      </c>
      <c r="C95" s="4" t="s">
        <v>26</v>
      </c>
      <c r="D95" s="7">
        <v>3</v>
      </c>
    </row>
    <row r="96" spans="1:6">
      <c r="A96" s="5">
        <v>45751</v>
      </c>
      <c r="B96" s="4">
        <v>4</v>
      </c>
      <c r="C96" s="4" t="s">
        <v>26</v>
      </c>
      <c r="D96" s="7">
        <v>3</v>
      </c>
      <c r="E96" s="4" t="s">
        <v>51</v>
      </c>
      <c r="F96" s="5">
        <v>45750</v>
      </c>
    </row>
    <row r="97" spans="1:6">
      <c r="A97" s="5">
        <v>45782</v>
      </c>
      <c r="B97" s="4">
        <v>5</v>
      </c>
      <c r="C97" s="4" t="s">
        <v>27</v>
      </c>
      <c r="D97" s="7">
        <v>4</v>
      </c>
    </row>
    <row r="98" spans="1:6">
      <c r="A98" s="5">
        <v>45751</v>
      </c>
      <c r="B98" s="4">
        <v>4</v>
      </c>
      <c r="C98" s="4" t="s">
        <v>26</v>
      </c>
      <c r="D98" s="7">
        <v>5</v>
      </c>
      <c r="E98" s="4" t="s">
        <v>51</v>
      </c>
      <c r="F98" s="5">
        <v>45782</v>
      </c>
    </row>
    <row r="99" spans="1:6">
      <c r="A99" s="5">
        <f>EDATE(A98, 1)</f>
        <v>45781</v>
      </c>
      <c r="B99" s="4">
        <v>4</v>
      </c>
      <c r="C99" s="4" t="s">
        <v>26</v>
      </c>
      <c r="D99" s="7">
        <v>5</v>
      </c>
      <c r="E99" s="4" t="s">
        <v>51</v>
      </c>
      <c r="F99" s="5">
        <v>45782</v>
      </c>
    </row>
    <row r="100" spans="1:6">
      <c r="A100" s="5">
        <v>45751</v>
      </c>
      <c r="B100" s="4">
        <v>4</v>
      </c>
      <c r="C100" s="4" t="s">
        <v>25</v>
      </c>
      <c r="D100" s="7">
        <v>10</v>
      </c>
      <c r="E100" s="4" t="s">
        <v>54</v>
      </c>
      <c r="F100" s="5">
        <v>45762</v>
      </c>
    </row>
    <row r="101" spans="1:6">
      <c r="A101" s="5">
        <f>A100+3</f>
        <v>45754</v>
      </c>
      <c r="B101" s="4">
        <v>4</v>
      </c>
      <c r="C101" s="4" t="s">
        <v>25</v>
      </c>
      <c r="D101" s="7">
        <v>10</v>
      </c>
      <c r="E101" s="4" t="s">
        <v>54</v>
      </c>
      <c r="F101" s="5">
        <v>45762</v>
      </c>
    </row>
    <row r="102" spans="1:6">
      <c r="A102" s="5">
        <f>A101+3</f>
        <v>45757</v>
      </c>
      <c r="B102" s="4">
        <v>4</v>
      </c>
      <c r="C102" s="4" t="s">
        <v>25</v>
      </c>
      <c r="D102" s="7">
        <v>10</v>
      </c>
      <c r="E102" s="4" t="s">
        <v>54</v>
      </c>
      <c r="F102" s="5">
        <v>45762</v>
      </c>
    </row>
    <row r="103" spans="1:6">
      <c r="A103" s="5">
        <f>A102+3</f>
        <v>45760</v>
      </c>
      <c r="B103" s="4">
        <v>4</v>
      </c>
      <c r="C103" s="4" t="s">
        <v>25</v>
      </c>
      <c r="D103" s="7">
        <v>10</v>
      </c>
      <c r="E103" s="4" t="s">
        <v>54</v>
      </c>
      <c r="F103" s="5">
        <v>45762</v>
      </c>
    </row>
    <row r="104" spans="1:6">
      <c r="A104" s="5">
        <v>45700</v>
      </c>
      <c r="B104" s="4" t="s">
        <v>55</v>
      </c>
      <c r="C104" s="4" t="s">
        <v>25</v>
      </c>
      <c r="D104" s="7">
        <v>20</v>
      </c>
      <c r="F104" s="5"/>
    </row>
    <row r="105" spans="1:6">
      <c r="A105" s="5">
        <v>45701</v>
      </c>
      <c r="B105" s="4" t="s">
        <v>55</v>
      </c>
      <c r="C105" s="4" t="s">
        <v>25</v>
      </c>
      <c r="D105" s="7">
        <v>20</v>
      </c>
      <c r="E105" s="4" t="s">
        <v>50</v>
      </c>
      <c r="F105" s="5">
        <v>45703</v>
      </c>
    </row>
    <row r="106" spans="1:6">
      <c r="A106" s="5">
        <v>45702</v>
      </c>
      <c r="B106" s="4" t="s">
        <v>55</v>
      </c>
      <c r="C106" s="4" t="s">
        <v>25</v>
      </c>
      <c r="D106" s="7">
        <v>20</v>
      </c>
      <c r="E106" s="4" t="s">
        <v>50</v>
      </c>
      <c r="F106" s="5">
        <v>45703</v>
      </c>
    </row>
    <row r="107" spans="1:6">
      <c r="A107" s="5">
        <v>45703</v>
      </c>
      <c r="B107" s="4" t="s">
        <v>55</v>
      </c>
      <c r="C107" s="4" t="s">
        <v>25</v>
      </c>
      <c r="D107" s="7">
        <v>20</v>
      </c>
      <c r="E107" s="4" t="s">
        <v>50</v>
      </c>
      <c r="F107" s="5">
        <v>45703</v>
      </c>
    </row>
    <row r="108" spans="1:6">
      <c r="A108" s="5">
        <v>45690</v>
      </c>
      <c r="B108" s="4" t="s">
        <v>56</v>
      </c>
      <c r="C108" s="4" t="s">
        <v>26</v>
      </c>
      <c r="D108" s="7">
        <v>1</v>
      </c>
      <c r="F108" s="5"/>
    </row>
    <row r="109" spans="1:6">
      <c r="A109" s="5">
        <v>45690</v>
      </c>
      <c r="B109" s="4" t="s">
        <v>56</v>
      </c>
      <c r="C109" s="4" t="s">
        <v>28</v>
      </c>
      <c r="D109" s="7">
        <v>2</v>
      </c>
      <c r="F109" s="5"/>
    </row>
    <row r="110" spans="1:6">
      <c r="A110" s="5">
        <v>45690</v>
      </c>
      <c r="B110" s="4" t="s">
        <v>56</v>
      </c>
      <c r="C110" s="4" t="s">
        <v>28</v>
      </c>
      <c r="D110" s="7">
        <v>2</v>
      </c>
      <c r="F110" s="5"/>
    </row>
    <row r="111" spans="1:6">
      <c r="A111" s="5">
        <v>45690</v>
      </c>
      <c r="B111" s="4" t="s">
        <v>56</v>
      </c>
      <c r="C111" s="4" t="s">
        <v>28</v>
      </c>
      <c r="D111" s="7">
        <v>2</v>
      </c>
      <c r="F111" s="5"/>
    </row>
    <row r="112" spans="1:6">
      <c r="A112" s="5">
        <v>45690</v>
      </c>
      <c r="B112" s="4" t="s">
        <v>56</v>
      </c>
      <c r="C112" s="4" t="s">
        <v>28</v>
      </c>
      <c r="D112" s="7">
        <v>2</v>
      </c>
      <c r="F112" s="5"/>
    </row>
    <row r="113" spans="1:6">
      <c r="A113" s="5">
        <v>45690</v>
      </c>
      <c r="B113" s="4" t="s">
        <v>56</v>
      </c>
      <c r="C113" s="4" t="s">
        <v>28</v>
      </c>
      <c r="D113" s="7">
        <v>2</v>
      </c>
      <c r="E113" s="4" t="s">
        <v>50</v>
      </c>
      <c r="F113" s="5">
        <v>45696</v>
      </c>
    </row>
    <row r="114" spans="1:6">
      <c r="A114" s="5">
        <v>45691</v>
      </c>
      <c r="B114" s="4" t="s">
        <v>56</v>
      </c>
      <c r="C114" s="4" t="s">
        <v>28</v>
      </c>
      <c r="D114" s="7">
        <v>2</v>
      </c>
      <c r="E114" s="4" t="s">
        <v>50</v>
      </c>
      <c r="F114" s="5">
        <v>45696</v>
      </c>
    </row>
    <row r="115" spans="1:6">
      <c r="A115" s="5">
        <v>45692</v>
      </c>
      <c r="B115" s="4" t="s">
        <v>56</v>
      </c>
      <c r="C115" s="4" t="s">
        <v>28</v>
      </c>
      <c r="D115" s="7">
        <v>2</v>
      </c>
      <c r="E115" s="4" t="s">
        <v>50</v>
      </c>
      <c r="F115" s="5">
        <v>45696</v>
      </c>
    </row>
    <row r="116" spans="1:6">
      <c r="A116" s="5">
        <v>45693</v>
      </c>
      <c r="B116" s="4" t="s">
        <v>56</v>
      </c>
      <c r="C116" s="4" t="s">
        <v>28</v>
      </c>
      <c r="D116" s="7">
        <v>2</v>
      </c>
      <c r="E116" s="4" t="s">
        <v>50</v>
      </c>
      <c r="F116" s="5">
        <v>45696</v>
      </c>
    </row>
    <row r="117" spans="1:6">
      <c r="A117" s="5">
        <v>45694</v>
      </c>
      <c r="B117" s="4" t="s">
        <v>56</v>
      </c>
      <c r="C117" s="4" t="s">
        <v>28</v>
      </c>
      <c r="D117" s="7">
        <v>2</v>
      </c>
      <c r="E117" s="4" t="s">
        <v>50</v>
      </c>
      <c r="F117" s="5">
        <v>45696</v>
      </c>
    </row>
    <row r="118" spans="1:6">
      <c r="A118" s="5">
        <v>45695</v>
      </c>
      <c r="B118" s="4" t="s">
        <v>56</v>
      </c>
      <c r="C118" s="4" t="s">
        <v>28</v>
      </c>
      <c r="D118" s="7">
        <v>2</v>
      </c>
      <c r="E118" s="4" t="s">
        <v>50</v>
      </c>
      <c r="F118" s="5">
        <v>45696</v>
      </c>
    </row>
    <row r="119" spans="1:6">
      <c r="A119" s="5">
        <v>45696</v>
      </c>
      <c r="B119" s="4" t="s">
        <v>56</v>
      </c>
      <c r="C119" s="4" t="s">
        <v>28</v>
      </c>
      <c r="D119" s="7">
        <v>2</v>
      </c>
      <c r="E119" s="4" t="s">
        <v>50</v>
      </c>
      <c r="F119" s="5">
        <v>45696</v>
      </c>
    </row>
    <row r="120" spans="1:6">
      <c r="A120" s="5">
        <v>45690</v>
      </c>
      <c r="B120" s="4" t="s">
        <v>56</v>
      </c>
      <c r="C120" s="4" t="s">
        <v>28</v>
      </c>
      <c r="D120" s="7">
        <v>2</v>
      </c>
      <c r="F120" s="5"/>
    </row>
    <row r="121" spans="1:6">
      <c r="A121" s="5">
        <v>45690</v>
      </c>
      <c r="B121" s="4" t="s">
        <v>56</v>
      </c>
      <c r="C121" s="4" t="s">
        <v>28</v>
      </c>
      <c r="D121" s="7">
        <v>2</v>
      </c>
      <c r="E121" s="4" t="s">
        <v>54</v>
      </c>
      <c r="F121" s="5">
        <v>45696</v>
      </c>
    </row>
    <row r="122" spans="1:6">
      <c r="A122" s="5">
        <v>45693</v>
      </c>
      <c r="B122" s="4" t="s">
        <v>56</v>
      </c>
      <c r="C122" s="4" t="s">
        <v>28</v>
      </c>
      <c r="D122" s="7">
        <v>2</v>
      </c>
      <c r="E122" s="4" t="s">
        <v>54</v>
      </c>
      <c r="F122" s="5">
        <v>45696</v>
      </c>
    </row>
    <row r="123" spans="1:6">
      <c r="A123" s="5">
        <v>45696</v>
      </c>
      <c r="B123" s="4" t="s">
        <v>56</v>
      </c>
      <c r="C123" s="4" t="s">
        <v>28</v>
      </c>
      <c r="D123" s="7">
        <v>2</v>
      </c>
      <c r="E123" s="4" t="s">
        <v>54</v>
      </c>
      <c r="F123" s="5">
        <v>45696</v>
      </c>
    </row>
    <row r="124" spans="1:6">
      <c r="A124" s="5">
        <v>45690</v>
      </c>
      <c r="B124" s="4" t="s">
        <v>57</v>
      </c>
      <c r="C124" s="4" t="s">
        <v>26</v>
      </c>
      <c r="D124" s="7">
        <v>2</v>
      </c>
      <c r="F124" s="5"/>
    </row>
    <row r="125" spans="1:6">
      <c r="A125" s="5">
        <v>45690</v>
      </c>
      <c r="B125" s="4" t="s">
        <v>57</v>
      </c>
      <c r="C125" s="4" t="s">
        <v>26</v>
      </c>
      <c r="D125" s="7">
        <v>2</v>
      </c>
      <c r="E125" s="4" t="s">
        <v>50</v>
      </c>
      <c r="F125" s="5">
        <v>45692</v>
      </c>
    </row>
    <row r="126" spans="1:6">
      <c r="A126" s="5">
        <v>45691</v>
      </c>
      <c r="B126" s="4" t="s">
        <v>57</v>
      </c>
      <c r="C126" s="4" t="s">
        <v>26</v>
      </c>
      <c r="D126" s="7">
        <v>2</v>
      </c>
      <c r="E126" s="4" t="s">
        <v>50</v>
      </c>
      <c r="F126" s="5">
        <v>45692</v>
      </c>
    </row>
    <row r="127" spans="1:6">
      <c r="A127" s="5">
        <v>45692</v>
      </c>
      <c r="B127" s="4" t="s">
        <v>57</v>
      </c>
      <c r="C127" s="4" t="s">
        <v>26</v>
      </c>
      <c r="D127" s="7">
        <v>2</v>
      </c>
      <c r="E127" s="4" t="s">
        <v>50</v>
      </c>
      <c r="F127" s="5">
        <v>45692</v>
      </c>
    </row>
    <row r="128" spans="1:6">
      <c r="A128" s="5">
        <v>45690</v>
      </c>
      <c r="B128" s="4">
        <v>2</v>
      </c>
      <c r="C128" s="4" t="s">
        <v>26</v>
      </c>
      <c r="D128" s="7">
        <v>2</v>
      </c>
      <c r="F128" s="5"/>
    </row>
    <row r="129" spans="1:6">
      <c r="A129" s="5">
        <v>45690</v>
      </c>
      <c r="B129" s="4">
        <v>2</v>
      </c>
      <c r="C129" s="4" t="s">
        <v>26</v>
      </c>
      <c r="D129" s="7">
        <v>30</v>
      </c>
      <c r="E129" s="4" t="s">
        <v>50</v>
      </c>
      <c r="F129" s="5">
        <v>45693</v>
      </c>
    </row>
    <row r="130" spans="1:6">
      <c r="A130" s="5">
        <v>45691</v>
      </c>
      <c r="B130" s="4">
        <v>2</v>
      </c>
      <c r="C130" s="4" t="s">
        <v>26</v>
      </c>
      <c r="D130" s="7">
        <v>30</v>
      </c>
      <c r="E130" s="4" t="s">
        <v>50</v>
      </c>
      <c r="F130" s="5">
        <v>45693</v>
      </c>
    </row>
    <row r="131" spans="1:6">
      <c r="A131" s="5">
        <v>45692</v>
      </c>
      <c r="B131" s="4">
        <v>2</v>
      </c>
      <c r="C131" s="4" t="s">
        <v>26</v>
      </c>
      <c r="D131" s="7">
        <v>30</v>
      </c>
      <c r="E131" s="4" t="s">
        <v>50</v>
      </c>
      <c r="F131" s="5">
        <v>45693</v>
      </c>
    </row>
    <row r="132" spans="1:6">
      <c r="A132" s="5">
        <v>45693</v>
      </c>
      <c r="B132" s="4">
        <v>2</v>
      </c>
      <c r="C132" s="4" t="s">
        <v>26</v>
      </c>
      <c r="D132" s="7">
        <v>30</v>
      </c>
      <c r="E132" s="4" t="s">
        <v>50</v>
      </c>
      <c r="F132" s="5">
        <v>45693</v>
      </c>
    </row>
    <row r="133" spans="1:6">
      <c r="A133" s="5">
        <v>45719</v>
      </c>
      <c r="B133" s="4">
        <v>3</v>
      </c>
      <c r="C133" s="4" t="s">
        <v>26</v>
      </c>
      <c r="D133" s="7">
        <v>3</v>
      </c>
      <c r="F133" s="5"/>
    </row>
    <row r="134" spans="1:6">
      <c r="A134" s="5">
        <v>45993</v>
      </c>
      <c r="B134" s="4">
        <v>5</v>
      </c>
      <c r="C134" s="4" t="s">
        <v>28</v>
      </c>
      <c r="D134" s="7">
        <v>30</v>
      </c>
      <c r="F134" s="5"/>
    </row>
    <row r="135" spans="1:6">
      <c r="A135" s="5">
        <v>45992</v>
      </c>
      <c r="B135" s="4" t="s">
        <v>58</v>
      </c>
      <c r="C135" s="4" t="s">
        <v>27</v>
      </c>
      <c r="D135" s="7">
        <v>125</v>
      </c>
      <c r="F135" s="5"/>
    </row>
  </sheetData>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ClearExpensesIncomes">
                <anchor moveWithCells="1" sizeWithCells="1">
                  <from>
                    <xdr:col>7</xdr:col>
                    <xdr:colOff>190500</xdr:colOff>
                    <xdr:row>3</xdr:row>
                    <xdr:rowOff>171450</xdr:rowOff>
                  </from>
                  <to>
                    <xdr:col>9</xdr:col>
                    <xdr:colOff>238125</xdr:colOff>
                    <xdr:row>7</xdr:row>
                    <xdr:rowOff>47625</xdr:rowOff>
                  </to>
                </anchor>
              </controlPr>
            </control>
          </mc:Choice>
        </mc:AlternateContent>
      </controls>
    </mc:Choice>
  </mc:AlternateContent>
  <tableParts count="1">
    <tablePart r:id="rId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H85"/>
  <sheetViews>
    <sheetView topLeftCell="A3" workbookViewId="0">
      <selection activeCell="H16" sqref="H16"/>
    </sheetView>
  </sheetViews>
  <sheetFormatPr defaultColWidth="8.85546875" defaultRowHeight="15"/>
  <cols>
    <col min="1" max="1" width="12.5703125" customWidth="1"/>
    <col min="2" max="2" width="14.140625" customWidth="1"/>
    <col min="3" max="3" width="12.7109375" customWidth="1"/>
    <col min="4" max="4" width="12" customWidth="1"/>
    <col min="5" max="5" width="19.140625" customWidth="1"/>
    <col min="6" max="6" width="15.28515625" customWidth="1"/>
    <col min="8" max="8" width="9.140625" bestFit="1" customWidth="1"/>
  </cols>
  <sheetData>
    <row r="1" spans="1:8" ht="22.5" customHeight="1">
      <c r="A1" s="1" t="s">
        <v>42</v>
      </c>
      <c r="B1" s="1" t="s">
        <v>43</v>
      </c>
      <c r="C1" s="1" t="s">
        <v>1</v>
      </c>
      <c r="D1" s="1" t="s">
        <v>2</v>
      </c>
      <c r="E1" s="8" t="s">
        <v>47</v>
      </c>
      <c r="F1" s="8" t="s">
        <v>48</v>
      </c>
    </row>
    <row r="2" spans="1:8">
      <c r="A2" s="2">
        <v>45814</v>
      </c>
      <c r="B2">
        <v>6</v>
      </c>
      <c r="C2" t="s">
        <v>4</v>
      </c>
      <c r="D2" s="9">
        <v>50</v>
      </c>
      <c r="E2" t="s">
        <v>50</v>
      </c>
      <c r="F2" s="2">
        <v>45818</v>
      </c>
    </row>
    <row r="3" spans="1:8">
      <c r="A3" s="2">
        <f>A2+1</f>
        <v>45815</v>
      </c>
      <c r="B3">
        <v>6</v>
      </c>
      <c r="C3" t="s">
        <v>4</v>
      </c>
      <c r="D3" s="9">
        <v>50</v>
      </c>
      <c r="E3" t="s">
        <v>50</v>
      </c>
      <c r="F3" s="2">
        <v>45818</v>
      </c>
    </row>
    <row r="4" spans="1:8">
      <c r="A4" s="2">
        <f>A3+1</f>
        <v>45816</v>
      </c>
      <c r="B4">
        <v>6</v>
      </c>
      <c r="C4" t="s">
        <v>4</v>
      </c>
      <c r="D4" s="9">
        <v>50</v>
      </c>
      <c r="E4" t="s">
        <v>50</v>
      </c>
      <c r="F4" s="2">
        <v>45818</v>
      </c>
    </row>
    <row r="5" spans="1:8">
      <c r="A5" s="2">
        <f>A4+1</f>
        <v>45817</v>
      </c>
      <c r="B5">
        <v>6</v>
      </c>
      <c r="C5" t="s">
        <v>4</v>
      </c>
      <c r="D5" s="9">
        <v>50</v>
      </c>
      <c r="E5" t="s">
        <v>50</v>
      </c>
      <c r="F5" s="2">
        <v>45818</v>
      </c>
    </row>
    <row r="6" spans="1:8">
      <c r="A6" s="2">
        <f>A5+1</f>
        <v>45818</v>
      </c>
      <c r="B6">
        <v>6</v>
      </c>
      <c r="C6" t="s">
        <v>4</v>
      </c>
      <c r="D6" s="9">
        <v>50</v>
      </c>
      <c r="E6" t="s">
        <v>50</v>
      </c>
      <c r="F6" s="2">
        <v>45818</v>
      </c>
    </row>
    <row r="7" spans="1:8">
      <c r="A7" s="2">
        <v>45845</v>
      </c>
      <c r="B7">
        <v>7</v>
      </c>
      <c r="C7" t="s">
        <v>3</v>
      </c>
      <c r="D7" s="9">
        <v>60</v>
      </c>
      <c r="E7" t="s">
        <v>54</v>
      </c>
      <c r="F7" s="2">
        <v>45879</v>
      </c>
    </row>
    <row r="8" spans="1:8">
      <c r="A8" s="2">
        <f t="shared" ref="A8:A24" si="0">A7+2</f>
        <v>45847</v>
      </c>
      <c r="B8">
        <v>7</v>
      </c>
      <c r="C8" t="s">
        <v>3</v>
      </c>
      <c r="D8" s="9">
        <v>60</v>
      </c>
      <c r="E8" t="s">
        <v>54</v>
      </c>
      <c r="F8" s="2">
        <v>45879</v>
      </c>
    </row>
    <row r="9" spans="1:8">
      <c r="A9" s="2">
        <f t="shared" si="0"/>
        <v>45849</v>
      </c>
      <c r="B9">
        <v>7</v>
      </c>
      <c r="C9" t="s">
        <v>3</v>
      </c>
      <c r="D9" s="9">
        <v>60</v>
      </c>
      <c r="E9" t="s">
        <v>54</v>
      </c>
      <c r="F9" s="2">
        <v>45879</v>
      </c>
    </row>
    <row r="10" spans="1:8">
      <c r="A10" s="2">
        <f t="shared" si="0"/>
        <v>45851</v>
      </c>
      <c r="B10">
        <v>7</v>
      </c>
      <c r="C10" t="s">
        <v>3</v>
      </c>
      <c r="D10" s="9">
        <v>60</v>
      </c>
      <c r="E10" t="s">
        <v>54</v>
      </c>
      <c r="F10" s="2">
        <v>45879</v>
      </c>
    </row>
    <row r="11" spans="1:8">
      <c r="A11" s="2">
        <f t="shared" si="0"/>
        <v>45853</v>
      </c>
      <c r="B11">
        <v>7</v>
      </c>
      <c r="C11" t="s">
        <v>3</v>
      </c>
      <c r="D11" s="9">
        <v>60</v>
      </c>
      <c r="E11" t="s">
        <v>54</v>
      </c>
      <c r="F11" s="2">
        <v>45879</v>
      </c>
    </row>
    <row r="12" spans="1:8">
      <c r="A12" s="2">
        <f t="shared" si="0"/>
        <v>45855</v>
      </c>
      <c r="B12">
        <v>7</v>
      </c>
      <c r="C12" t="s">
        <v>3</v>
      </c>
      <c r="D12" s="9">
        <v>60</v>
      </c>
      <c r="E12" t="s">
        <v>54</v>
      </c>
      <c r="F12" s="2">
        <v>45879</v>
      </c>
    </row>
    <row r="13" spans="1:8">
      <c r="A13" s="2">
        <f t="shared" si="0"/>
        <v>45857</v>
      </c>
      <c r="B13">
        <v>7</v>
      </c>
      <c r="C13" t="s">
        <v>3</v>
      </c>
      <c r="D13" s="9">
        <v>60</v>
      </c>
      <c r="E13" t="s">
        <v>54</v>
      </c>
      <c r="F13" s="2">
        <v>45879</v>
      </c>
      <c r="H13" s="9"/>
    </row>
    <row r="14" spans="1:8">
      <c r="A14" s="2">
        <f t="shared" si="0"/>
        <v>45859</v>
      </c>
      <c r="B14">
        <v>7</v>
      </c>
      <c r="C14" t="s">
        <v>3</v>
      </c>
      <c r="D14" s="9">
        <v>60</v>
      </c>
      <c r="E14" t="s">
        <v>54</v>
      </c>
      <c r="F14" s="2">
        <v>45879</v>
      </c>
    </row>
    <row r="15" spans="1:8">
      <c r="A15" s="2">
        <f t="shared" si="0"/>
        <v>45861</v>
      </c>
      <c r="B15">
        <v>7</v>
      </c>
      <c r="C15" t="s">
        <v>3</v>
      </c>
      <c r="D15" s="9">
        <v>60</v>
      </c>
      <c r="E15" t="s">
        <v>54</v>
      </c>
      <c r="F15" s="2">
        <v>45879</v>
      </c>
    </row>
    <row r="16" spans="1:8">
      <c r="A16" s="2">
        <f t="shared" si="0"/>
        <v>45863</v>
      </c>
      <c r="B16">
        <v>7</v>
      </c>
      <c r="C16" t="s">
        <v>3</v>
      </c>
      <c r="D16" s="9">
        <v>60</v>
      </c>
      <c r="E16" t="s">
        <v>54</v>
      </c>
      <c r="F16" s="2">
        <v>45879</v>
      </c>
    </row>
    <row r="17" spans="1:6">
      <c r="A17" s="2">
        <f t="shared" si="0"/>
        <v>45865</v>
      </c>
      <c r="B17">
        <v>7</v>
      </c>
      <c r="C17" t="s">
        <v>3</v>
      </c>
      <c r="D17" s="9">
        <v>60</v>
      </c>
      <c r="E17" t="s">
        <v>54</v>
      </c>
      <c r="F17" s="2">
        <v>45879</v>
      </c>
    </row>
    <row r="18" spans="1:6">
      <c r="A18" s="2">
        <f t="shared" si="0"/>
        <v>45867</v>
      </c>
      <c r="B18">
        <v>7</v>
      </c>
      <c r="C18" t="s">
        <v>3</v>
      </c>
      <c r="D18" s="9">
        <v>60</v>
      </c>
      <c r="E18" t="s">
        <v>54</v>
      </c>
      <c r="F18" s="2">
        <v>45879</v>
      </c>
    </row>
    <row r="19" spans="1:6">
      <c r="A19" s="2">
        <f t="shared" si="0"/>
        <v>45869</v>
      </c>
      <c r="B19">
        <v>7</v>
      </c>
      <c r="C19" t="s">
        <v>3</v>
      </c>
      <c r="D19" s="9">
        <v>60</v>
      </c>
      <c r="E19" t="s">
        <v>54</v>
      </c>
      <c r="F19" s="2">
        <v>45879</v>
      </c>
    </row>
    <row r="20" spans="1:6">
      <c r="A20" s="2">
        <f t="shared" si="0"/>
        <v>45871</v>
      </c>
      <c r="B20">
        <v>7</v>
      </c>
      <c r="C20" t="s">
        <v>3</v>
      </c>
      <c r="D20" s="9">
        <v>60</v>
      </c>
      <c r="E20" t="s">
        <v>54</v>
      </c>
      <c r="F20" s="2">
        <v>45879</v>
      </c>
    </row>
    <row r="21" spans="1:6">
      <c r="A21" s="2">
        <f t="shared" si="0"/>
        <v>45873</v>
      </c>
      <c r="B21">
        <v>7</v>
      </c>
      <c r="C21" t="s">
        <v>3</v>
      </c>
      <c r="D21" s="9">
        <v>60</v>
      </c>
      <c r="E21" t="s">
        <v>54</v>
      </c>
      <c r="F21" s="2">
        <v>45879</v>
      </c>
    </row>
    <row r="22" spans="1:6">
      <c r="A22" s="2">
        <f t="shared" si="0"/>
        <v>45875</v>
      </c>
      <c r="B22">
        <v>7</v>
      </c>
      <c r="C22" t="s">
        <v>3</v>
      </c>
      <c r="D22" s="9">
        <v>60</v>
      </c>
      <c r="E22" t="s">
        <v>54</v>
      </c>
      <c r="F22" s="2">
        <v>45879</v>
      </c>
    </row>
    <row r="23" spans="1:6">
      <c r="A23" s="2">
        <f t="shared" si="0"/>
        <v>45877</v>
      </c>
      <c r="B23">
        <v>7</v>
      </c>
      <c r="C23" t="s">
        <v>3</v>
      </c>
      <c r="D23" s="9">
        <v>60</v>
      </c>
      <c r="E23" t="s">
        <v>54</v>
      </c>
      <c r="F23" s="2">
        <v>45879</v>
      </c>
    </row>
    <row r="24" spans="1:6">
      <c r="A24" s="2">
        <f t="shared" si="0"/>
        <v>45879</v>
      </c>
      <c r="B24">
        <v>7</v>
      </c>
      <c r="C24" t="s">
        <v>3</v>
      </c>
      <c r="D24" s="9">
        <v>60</v>
      </c>
      <c r="E24" t="s">
        <v>54</v>
      </c>
      <c r="F24" s="2">
        <v>45879</v>
      </c>
    </row>
    <row r="25" spans="1:6">
      <c r="A25" s="2">
        <v>45690</v>
      </c>
      <c r="B25">
        <v>2</v>
      </c>
      <c r="C25" t="s">
        <v>4</v>
      </c>
      <c r="D25" s="9">
        <v>2</v>
      </c>
      <c r="F25" s="2"/>
    </row>
    <row r="26" spans="1:6">
      <c r="A26" s="2">
        <v>45718</v>
      </c>
      <c r="B26">
        <v>2</v>
      </c>
      <c r="C26" t="s">
        <v>5</v>
      </c>
      <c r="D26" s="9">
        <v>20</v>
      </c>
      <c r="E26" t="s">
        <v>50</v>
      </c>
      <c r="F26" s="2">
        <v>45721</v>
      </c>
    </row>
    <row r="27" spans="1:6">
      <c r="A27" s="2">
        <v>45719</v>
      </c>
      <c r="B27">
        <v>2</v>
      </c>
      <c r="C27" t="s">
        <v>5</v>
      </c>
      <c r="D27" s="9">
        <v>20</v>
      </c>
      <c r="E27" t="s">
        <v>50</v>
      </c>
      <c r="F27" s="2">
        <v>45721</v>
      </c>
    </row>
    <row r="28" spans="1:6">
      <c r="A28" s="2">
        <v>45720</v>
      </c>
      <c r="B28">
        <v>2</v>
      </c>
      <c r="C28" t="s">
        <v>5</v>
      </c>
      <c r="D28" s="9">
        <v>20</v>
      </c>
      <c r="E28" t="s">
        <v>50</v>
      </c>
      <c r="F28" s="2">
        <v>45721</v>
      </c>
    </row>
    <row r="29" spans="1:6">
      <c r="A29" s="2">
        <v>45721</v>
      </c>
      <c r="B29">
        <v>2</v>
      </c>
      <c r="C29" t="s">
        <v>5</v>
      </c>
      <c r="D29" s="9">
        <v>20</v>
      </c>
      <c r="E29" t="s">
        <v>50</v>
      </c>
      <c r="F29" s="2">
        <v>45721</v>
      </c>
    </row>
    <row r="30" spans="1:6">
      <c r="A30" s="2">
        <v>45719</v>
      </c>
      <c r="B30">
        <v>3</v>
      </c>
      <c r="C30" t="s">
        <v>7</v>
      </c>
      <c r="D30" s="9">
        <v>30</v>
      </c>
      <c r="E30" t="s">
        <v>54</v>
      </c>
      <c r="F30" s="2">
        <v>45724</v>
      </c>
    </row>
    <row r="31" spans="1:6">
      <c r="A31" s="2">
        <v>45721</v>
      </c>
      <c r="B31">
        <v>3</v>
      </c>
      <c r="C31" t="s">
        <v>7</v>
      </c>
      <c r="D31" s="9">
        <v>30</v>
      </c>
      <c r="E31" t="s">
        <v>54</v>
      </c>
      <c r="F31" s="2">
        <v>45724</v>
      </c>
    </row>
    <row r="32" spans="1:6">
      <c r="A32" s="2">
        <v>45723</v>
      </c>
      <c r="B32">
        <v>3</v>
      </c>
      <c r="C32" t="s">
        <v>7</v>
      </c>
      <c r="D32" s="9">
        <v>30</v>
      </c>
      <c r="E32" t="s">
        <v>54</v>
      </c>
      <c r="F32" s="2">
        <v>45724</v>
      </c>
    </row>
    <row r="33" spans="1:6">
      <c r="A33" s="2">
        <v>45993</v>
      </c>
      <c r="B33" t="s">
        <v>59</v>
      </c>
      <c r="C33" t="s">
        <v>5</v>
      </c>
      <c r="D33" s="9">
        <v>20</v>
      </c>
      <c r="F33" s="2"/>
    </row>
    <row r="34" spans="1:6">
      <c r="A34" s="2">
        <v>45689</v>
      </c>
      <c r="B34" t="s">
        <v>46</v>
      </c>
      <c r="C34" t="s">
        <v>3</v>
      </c>
      <c r="D34" s="9">
        <v>25</v>
      </c>
      <c r="F34" s="2"/>
    </row>
    <row r="35" spans="1:6">
      <c r="A35" s="2">
        <v>45992</v>
      </c>
      <c r="B35" t="s">
        <v>60</v>
      </c>
      <c r="C35" t="s">
        <v>8</v>
      </c>
      <c r="D35" s="9">
        <v>18.5</v>
      </c>
      <c r="F35" s="2"/>
    </row>
    <row r="36" spans="1:6">
      <c r="A36" s="2">
        <v>45658</v>
      </c>
      <c r="B36" t="s">
        <v>61</v>
      </c>
      <c r="C36" t="s">
        <v>8</v>
      </c>
      <c r="D36" s="9">
        <v>75.5</v>
      </c>
      <c r="E36" t="s">
        <v>51</v>
      </c>
      <c r="F36" s="2">
        <v>45992</v>
      </c>
    </row>
    <row r="37" spans="1:6">
      <c r="A37" s="2">
        <v>45689</v>
      </c>
      <c r="B37" t="s">
        <v>61</v>
      </c>
      <c r="C37" t="s">
        <v>8</v>
      </c>
      <c r="D37" s="9">
        <v>75.5</v>
      </c>
      <c r="E37" t="s">
        <v>51</v>
      </c>
      <c r="F37" s="2">
        <v>45992</v>
      </c>
    </row>
    <row r="38" spans="1:6">
      <c r="A38" s="2">
        <v>45717</v>
      </c>
      <c r="B38" t="s">
        <v>61</v>
      </c>
      <c r="C38" t="s">
        <v>8</v>
      </c>
      <c r="D38" s="9">
        <v>75.5</v>
      </c>
      <c r="E38" t="s">
        <v>51</v>
      </c>
      <c r="F38" s="2">
        <v>45992</v>
      </c>
    </row>
    <row r="39" spans="1:6">
      <c r="A39" s="2">
        <v>45748</v>
      </c>
      <c r="B39" t="s">
        <v>61</v>
      </c>
      <c r="C39" t="s">
        <v>8</v>
      </c>
      <c r="D39" s="9">
        <v>75.5</v>
      </c>
      <c r="E39" t="s">
        <v>51</v>
      </c>
      <c r="F39" s="2">
        <v>45992</v>
      </c>
    </row>
    <row r="40" spans="1:6">
      <c r="A40" s="2">
        <v>45778</v>
      </c>
      <c r="B40" t="s">
        <v>61</v>
      </c>
      <c r="C40" t="s">
        <v>8</v>
      </c>
      <c r="D40" s="9">
        <v>75.5</v>
      </c>
      <c r="E40" t="s">
        <v>51</v>
      </c>
      <c r="F40" s="2">
        <v>45992</v>
      </c>
    </row>
    <row r="41" spans="1:6">
      <c r="A41" s="2">
        <v>45809</v>
      </c>
      <c r="B41" t="s">
        <v>61</v>
      </c>
      <c r="C41" t="s">
        <v>8</v>
      </c>
      <c r="D41" s="9">
        <v>75.5</v>
      </c>
      <c r="E41" t="s">
        <v>51</v>
      </c>
      <c r="F41" s="2">
        <v>45992</v>
      </c>
    </row>
    <row r="42" spans="1:6">
      <c r="A42" s="2">
        <v>45839</v>
      </c>
      <c r="B42" t="s">
        <v>61</v>
      </c>
      <c r="C42" t="s">
        <v>8</v>
      </c>
      <c r="D42" s="9">
        <v>75.5</v>
      </c>
      <c r="E42" t="s">
        <v>51</v>
      </c>
      <c r="F42" s="2">
        <v>45992</v>
      </c>
    </row>
    <row r="43" spans="1:6">
      <c r="A43" s="2">
        <v>45870</v>
      </c>
      <c r="B43" t="s">
        <v>61</v>
      </c>
      <c r="C43" t="s">
        <v>8</v>
      </c>
      <c r="D43" s="9">
        <v>75.5</v>
      </c>
      <c r="E43" t="s">
        <v>51</v>
      </c>
      <c r="F43" s="2">
        <v>45992</v>
      </c>
    </row>
    <row r="44" spans="1:6">
      <c r="A44" s="2">
        <v>45901</v>
      </c>
      <c r="B44" t="s">
        <v>61</v>
      </c>
      <c r="C44" t="s">
        <v>8</v>
      </c>
      <c r="D44" s="9">
        <v>75.5</v>
      </c>
      <c r="E44" t="s">
        <v>51</v>
      </c>
      <c r="F44" s="2">
        <v>45992</v>
      </c>
    </row>
    <row r="45" spans="1:6">
      <c r="A45" s="2">
        <v>45931</v>
      </c>
      <c r="B45" t="s">
        <v>61</v>
      </c>
      <c r="C45" t="s">
        <v>8</v>
      </c>
      <c r="D45" s="9">
        <v>75.5</v>
      </c>
      <c r="E45" t="s">
        <v>51</v>
      </c>
      <c r="F45" s="2">
        <v>45992</v>
      </c>
    </row>
    <row r="46" spans="1:6">
      <c r="A46" s="2">
        <v>45962</v>
      </c>
      <c r="B46" t="s">
        <v>61</v>
      </c>
      <c r="C46" t="s">
        <v>8</v>
      </c>
      <c r="D46" s="9">
        <v>75.5</v>
      </c>
      <c r="E46" t="s">
        <v>51</v>
      </c>
      <c r="F46" s="2">
        <v>45992</v>
      </c>
    </row>
    <row r="47" spans="1:6">
      <c r="A47" s="2">
        <v>45992</v>
      </c>
      <c r="B47" t="s">
        <v>61</v>
      </c>
      <c r="C47" t="s">
        <v>8</v>
      </c>
      <c r="D47" s="9">
        <v>75.5</v>
      </c>
      <c r="E47" t="s">
        <v>51</v>
      </c>
      <c r="F47" s="2">
        <v>45992</v>
      </c>
    </row>
    <row r="48" spans="1:6">
      <c r="A48" s="2">
        <v>45703</v>
      </c>
      <c r="B48" t="s">
        <v>62</v>
      </c>
      <c r="C48" t="s">
        <v>4</v>
      </c>
      <c r="D48" s="9">
        <v>15</v>
      </c>
      <c r="E48" t="s">
        <v>54</v>
      </c>
      <c r="F48" s="2">
        <v>46003</v>
      </c>
    </row>
    <row r="49" spans="1:6">
      <c r="A49" s="2">
        <v>45783</v>
      </c>
      <c r="B49" t="s">
        <v>62</v>
      </c>
      <c r="C49" t="s">
        <v>4</v>
      </c>
      <c r="D49" s="9">
        <v>15</v>
      </c>
      <c r="E49" t="s">
        <v>54</v>
      </c>
      <c r="F49" s="2">
        <v>46003</v>
      </c>
    </row>
    <row r="50" spans="1:6">
      <c r="A50" s="2">
        <v>45863</v>
      </c>
      <c r="B50" t="s">
        <v>62</v>
      </c>
      <c r="C50" t="s">
        <v>4</v>
      </c>
      <c r="D50" s="9">
        <v>15</v>
      </c>
      <c r="E50" t="s">
        <v>54</v>
      </c>
      <c r="F50" s="2">
        <v>46003</v>
      </c>
    </row>
    <row r="51" spans="1:6">
      <c r="A51" s="2">
        <v>45943</v>
      </c>
      <c r="B51" t="s">
        <v>62</v>
      </c>
      <c r="C51" t="s">
        <v>4</v>
      </c>
      <c r="D51" s="9">
        <v>15</v>
      </c>
      <c r="E51" t="s">
        <v>54</v>
      </c>
      <c r="F51" s="2">
        <v>46003</v>
      </c>
    </row>
    <row r="52" spans="1:6">
      <c r="A52" s="2">
        <v>45677</v>
      </c>
      <c r="B52" t="s">
        <v>63</v>
      </c>
      <c r="C52" t="s">
        <v>5</v>
      </c>
      <c r="D52" s="9">
        <v>20</v>
      </c>
      <c r="E52" t="s">
        <v>51</v>
      </c>
      <c r="F52" s="2">
        <v>45972</v>
      </c>
    </row>
    <row r="53" spans="1:6">
      <c r="A53" s="2">
        <v>45708</v>
      </c>
      <c r="B53" t="s">
        <v>63</v>
      </c>
      <c r="C53" t="s">
        <v>5</v>
      </c>
      <c r="D53" s="9">
        <v>20</v>
      </c>
      <c r="E53" t="s">
        <v>51</v>
      </c>
      <c r="F53" s="2">
        <v>45972</v>
      </c>
    </row>
    <row r="54" spans="1:6">
      <c r="A54" s="2">
        <v>45736</v>
      </c>
      <c r="B54" t="s">
        <v>63</v>
      </c>
      <c r="C54" t="s">
        <v>5</v>
      </c>
      <c r="D54" s="9">
        <v>20</v>
      </c>
      <c r="E54" t="s">
        <v>51</v>
      </c>
      <c r="F54" s="2">
        <v>45972</v>
      </c>
    </row>
    <row r="55" spans="1:6">
      <c r="A55" s="2">
        <v>45767</v>
      </c>
      <c r="B55" t="s">
        <v>63</v>
      </c>
      <c r="C55" t="s">
        <v>5</v>
      </c>
      <c r="D55" s="9">
        <v>20</v>
      </c>
      <c r="E55" t="s">
        <v>51</v>
      </c>
      <c r="F55" s="2">
        <v>45972</v>
      </c>
    </row>
    <row r="56" spans="1:6">
      <c r="A56" s="2">
        <v>45797</v>
      </c>
      <c r="B56" t="s">
        <v>63</v>
      </c>
      <c r="C56" t="s">
        <v>5</v>
      </c>
      <c r="D56" s="9">
        <v>20</v>
      </c>
      <c r="E56" t="s">
        <v>51</v>
      </c>
      <c r="F56" s="2">
        <v>45972</v>
      </c>
    </row>
    <row r="57" spans="1:6">
      <c r="A57" s="2">
        <v>45828</v>
      </c>
      <c r="B57" t="s">
        <v>63</v>
      </c>
      <c r="C57" t="s">
        <v>5</v>
      </c>
      <c r="D57" s="9">
        <v>20</v>
      </c>
      <c r="E57" t="s">
        <v>51</v>
      </c>
      <c r="F57" s="2">
        <v>45972</v>
      </c>
    </row>
    <row r="58" spans="1:6">
      <c r="A58" s="2">
        <v>45858</v>
      </c>
      <c r="B58" t="s">
        <v>63</v>
      </c>
      <c r="C58" t="s">
        <v>5</v>
      </c>
      <c r="D58" s="9">
        <v>20</v>
      </c>
      <c r="E58" t="s">
        <v>51</v>
      </c>
      <c r="F58" s="2">
        <v>45972</v>
      </c>
    </row>
    <row r="59" spans="1:6">
      <c r="A59" s="2">
        <v>45889</v>
      </c>
      <c r="B59" t="s">
        <v>63</v>
      </c>
      <c r="C59" t="s">
        <v>5</v>
      </c>
      <c r="D59" s="9">
        <v>20</v>
      </c>
      <c r="E59" t="s">
        <v>51</v>
      </c>
      <c r="F59" s="2">
        <v>45972</v>
      </c>
    </row>
    <row r="60" spans="1:6">
      <c r="A60" s="2">
        <v>45920</v>
      </c>
      <c r="B60" t="s">
        <v>63</v>
      </c>
      <c r="C60" t="s">
        <v>5</v>
      </c>
      <c r="D60" s="9">
        <v>20</v>
      </c>
      <c r="E60" t="s">
        <v>51</v>
      </c>
      <c r="F60" s="2">
        <v>45972</v>
      </c>
    </row>
    <row r="61" spans="1:6">
      <c r="A61" s="2">
        <v>45950</v>
      </c>
      <c r="B61" t="s">
        <v>63</v>
      </c>
      <c r="C61" t="s">
        <v>5</v>
      </c>
      <c r="D61" s="9">
        <v>20</v>
      </c>
      <c r="E61" t="s">
        <v>51</v>
      </c>
      <c r="F61" s="2">
        <v>45972</v>
      </c>
    </row>
    <row r="62" spans="1:6">
      <c r="A62" s="2">
        <v>45678</v>
      </c>
      <c r="B62" t="s">
        <v>64</v>
      </c>
      <c r="C62" t="s">
        <v>7</v>
      </c>
      <c r="D62" s="9">
        <v>12.75</v>
      </c>
      <c r="E62" t="s">
        <v>54</v>
      </c>
      <c r="F62" s="2">
        <v>45962</v>
      </c>
    </row>
    <row r="63" spans="1:6">
      <c r="A63" s="2">
        <v>45738</v>
      </c>
      <c r="B63" t="s">
        <v>64</v>
      </c>
      <c r="C63" t="s">
        <v>7</v>
      </c>
      <c r="D63" s="9">
        <v>12.75</v>
      </c>
      <c r="E63" t="s">
        <v>54</v>
      </c>
      <c r="F63" s="2">
        <v>45962</v>
      </c>
    </row>
    <row r="64" spans="1:6">
      <c r="A64" s="2">
        <v>45798</v>
      </c>
      <c r="B64" t="s">
        <v>64</v>
      </c>
      <c r="C64" t="s">
        <v>7</v>
      </c>
      <c r="D64" s="9">
        <v>12.75</v>
      </c>
      <c r="E64" t="s">
        <v>54</v>
      </c>
      <c r="F64" s="2">
        <v>45962</v>
      </c>
    </row>
    <row r="65" spans="1:6">
      <c r="A65" s="2">
        <v>45858</v>
      </c>
      <c r="B65" t="s">
        <v>64</v>
      </c>
      <c r="C65" t="s">
        <v>7</v>
      </c>
      <c r="D65" s="9">
        <v>12.75</v>
      </c>
      <c r="E65" t="s">
        <v>54</v>
      </c>
      <c r="F65" s="2">
        <v>45962</v>
      </c>
    </row>
    <row r="66" spans="1:6">
      <c r="A66" s="2">
        <v>45918</v>
      </c>
      <c r="B66" t="s">
        <v>64</v>
      </c>
      <c r="C66" t="s">
        <v>7</v>
      </c>
      <c r="D66" s="9">
        <v>12.75</v>
      </c>
      <c r="E66" t="s">
        <v>54</v>
      </c>
      <c r="F66" s="2">
        <v>45962</v>
      </c>
    </row>
    <row r="67" spans="1:6">
      <c r="A67" s="2">
        <v>45778</v>
      </c>
      <c r="B67" t="s">
        <v>65</v>
      </c>
      <c r="C67" t="s">
        <v>9</v>
      </c>
      <c r="D67" s="9">
        <v>15</v>
      </c>
      <c r="E67" t="s">
        <v>51</v>
      </c>
      <c r="F67" s="2">
        <v>46011</v>
      </c>
    </row>
    <row r="68" spans="1:6">
      <c r="A68" s="2">
        <v>45809</v>
      </c>
      <c r="B68" t="s">
        <v>65</v>
      </c>
      <c r="C68" t="s">
        <v>9</v>
      </c>
      <c r="D68" s="9">
        <v>15</v>
      </c>
      <c r="E68" t="s">
        <v>51</v>
      </c>
      <c r="F68" s="2">
        <v>46011</v>
      </c>
    </row>
    <row r="69" spans="1:6">
      <c r="A69" s="2">
        <v>45839</v>
      </c>
      <c r="B69" t="s">
        <v>65</v>
      </c>
      <c r="C69" t="s">
        <v>9</v>
      </c>
      <c r="D69" s="9">
        <v>15</v>
      </c>
      <c r="E69" t="s">
        <v>51</v>
      </c>
      <c r="F69" s="2">
        <v>46011</v>
      </c>
    </row>
    <row r="70" spans="1:6">
      <c r="A70" s="2">
        <v>45870</v>
      </c>
      <c r="B70" t="s">
        <v>65</v>
      </c>
      <c r="C70" t="s">
        <v>9</v>
      </c>
      <c r="D70" s="9">
        <v>15</v>
      </c>
      <c r="E70" t="s">
        <v>51</v>
      </c>
      <c r="F70" s="2">
        <v>46011</v>
      </c>
    </row>
    <row r="71" spans="1:6">
      <c r="A71" s="2">
        <v>45901</v>
      </c>
      <c r="B71" t="s">
        <v>65</v>
      </c>
      <c r="C71" t="s">
        <v>9</v>
      </c>
      <c r="D71" s="9">
        <v>15</v>
      </c>
      <c r="E71" t="s">
        <v>51</v>
      </c>
      <c r="F71" s="2">
        <v>46011</v>
      </c>
    </row>
    <row r="72" spans="1:6">
      <c r="A72" s="2">
        <v>45931</v>
      </c>
      <c r="B72" t="s">
        <v>65</v>
      </c>
      <c r="C72" t="s">
        <v>9</v>
      </c>
      <c r="D72" s="9">
        <v>15</v>
      </c>
      <c r="E72" t="s">
        <v>51</v>
      </c>
      <c r="F72" s="2">
        <v>46011</v>
      </c>
    </row>
    <row r="73" spans="1:6">
      <c r="A73" s="2">
        <v>45962</v>
      </c>
      <c r="B73" t="s">
        <v>65</v>
      </c>
      <c r="C73" t="s">
        <v>9</v>
      </c>
      <c r="D73" s="9">
        <v>15</v>
      </c>
      <c r="E73" t="s">
        <v>51</v>
      </c>
      <c r="F73" s="2">
        <v>46011</v>
      </c>
    </row>
    <row r="74" spans="1:6">
      <c r="A74" s="2">
        <v>45992</v>
      </c>
      <c r="B74" t="s">
        <v>65</v>
      </c>
      <c r="C74" t="s">
        <v>9</v>
      </c>
      <c r="D74" s="9">
        <v>15</v>
      </c>
      <c r="E74" t="s">
        <v>51</v>
      </c>
      <c r="F74" s="2">
        <v>46011</v>
      </c>
    </row>
    <row r="75" spans="1:6">
      <c r="A75" s="2">
        <v>45717</v>
      </c>
      <c r="B75" t="s">
        <v>66</v>
      </c>
      <c r="C75" t="s">
        <v>10</v>
      </c>
      <c r="D75" s="9">
        <v>20</v>
      </c>
      <c r="E75" t="s">
        <v>54</v>
      </c>
      <c r="F75" s="2">
        <v>46003</v>
      </c>
    </row>
    <row r="76" spans="1:6">
      <c r="A76" s="2">
        <v>45817</v>
      </c>
      <c r="B76" t="s">
        <v>66</v>
      </c>
      <c r="C76" t="s">
        <v>10</v>
      </c>
      <c r="D76" s="9">
        <v>20</v>
      </c>
      <c r="E76" t="s">
        <v>54</v>
      </c>
      <c r="F76" s="2">
        <v>46003</v>
      </c>
    </row>
    <row r="77" spans="1:6">
      <c r="A77" s="2">
        <v>45917</v>
      </c>
      <c r="B77" t="s">
        <v>66</v>
      </c>
      <c r="C77" t="s">
        <v>10</v>
      </c>
      <c r="D77" s="9">
        <v>20</v>
      </c>
      <c r="E77" t="s">
        <v>54</v>
      </c>
      <c r="F77" s="2">
        <v>46003</v>
      </c>
    </row>
    <row r="78" spans="1:6">
      <c r="A78" s="2">
        <v>45992</v>
      </c>
      <c r="B78" t="s">
        <v>67</v>
      </c>
      <c r="C78" t="s">
        <v>3</v>
      </c>
      <c r="D78" s="9">
        <v>20</v>
      </c>
      <c r="F78" s="2"/>
    </row>
    <row r="79" spans="1:6">
      <c r="A79" s="2">
        <v>45993</v>
      </c>
      <c r="B79" t="s">
        <v>9</v>
      </c>
      <c r="C79" t="s">
        <v>9</v>
      </c>
      <c r="D79" s="9">
        <v>50</v>
      </c>
      <c r="F79" s="2"/>
    </row>
    <row r="80" spans="1:6">
      <c r="A80" s="2">
        <v>45992</v>
      </c>
      <c r="B80" t="s">
        <v>68</v>
      </c>
      <c r="C80" t="s">
        <v>4</v>
      </c>
      <c r="D80" s="9">
        <v>8</v>
      </c>
      <c r="F80" s="2"/>
    </row>
    <row r="81" spans="1:6">
      <c r="A81" s="2">
        <v>45993</v>
      </c>
      <c r="B81" t="s">
        <v>69</v>
      </c>
      <c r="C81" t="s">
        <v>5</v>
      </c>
      <c r="D81" s="9">
        <v>3</v>
      </c>
      <c r="F81" s="2"/>
    </row>
    <row r="82" spans="1:6">
      <c r="A82" s="2"/>
    </row>
    <row r="83" spans="1:6">
      <c r="A83" s="2"/>
    </row>
    <row r="84" spans="1:6">
      <c r="A84" s="2"/>
    </row>
    <row r="85" spans="1:6">
      <c r="A85" s="2"/>
    </row>
  </sheetData>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ClearExpensesIncomes">
                <anchor moveWithCells="1" sizeWithCells="1">
                  <from>
                    <xdr:col>7</xdr:col>
                    <xdr:colOff>238125</xdr:colOff>
                    <xdr:row>2</xdr:row>
                    <xdr:rowOff>180975</xdr:rowOff>
                  </from>
                  <to>
                    <xdr:col>9</xdr:col>
                    <xdr:colOff>285750</xdr:colOff>
                    <xdr:row>7</xdr:row>
                    <xdr:rowOff>19050</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H9"/>
  <sheetViews>
    <sheetView workbookViewId="0">
      <selection activeCell="E10" sqref="E10"/>
    </sheetView>
  </sheetViews>
  <sheetFormatPr defaultColWidth="8.85546875" defaultRowHeight="15"/>
  <cols>
    <col min="1" max="1" width="13.5703125" style="4" customWidth="1"/>
    <col min="2" max="2" width="14.7109375" style="4" customWidth="1"/>
    <col min="3" max="3" width="17.85546875" style="4" customWidth="1"/>
    <col min="4" max="4" width="18" style="4" customWidth="1"/>
    <col min="5" max="5" width="17.5703125" style="4" customWidth="1"/>
    <col min="6" max="6" width="17" style="4" customWidth="1"/>
    <col min="7" max="7" width="13" customWidth="1"/>
    <col min="8" max="8" width="13.42578125" customWidth="1"/>
  </cols>
  <sheetData>
    <row r="1" spans="1:8" ht="30">
      <c r="A1" s="4" t="s">
        <v>70</v>
      </c>
      <c r="B1" s="4" t="s">
        <v>43</v>
      </c>
      <c r="C1" s="4" t="s">
        <v>71</v>
      </c>
      <c r="D1" s="4" t="s">
        <v>41</v>
      </c>
      <c r="E1" s="4" t="s">
        <v>45</v>
      </c>
      <c r="F1" s="4" t="s">
        <v>72</v>
      </c>
      <c r="G1" s="4" t="s">
        <v>73</v>
      </c>
      <c r="H1" s="4" t="s">
        <v>74</v>
      </c>
    </row>
    <row r="2" spans="1:8">
      <c r="A2" s="4" t="s">
        <v>75</v>
      </c>
      <c r="B2" s="4" t="s">
        <v>4</v>
      </c>
      <c r="C2" s="4">
        <v>20</v>
      </c>
      <c r="D2" s="10">
        <v>45992</v>
      </c>
      <c r="E2" s="10">
        <v>46022</v>
      </c>
      <c r="G2" s="4">
        <f t="shared" ref="G2:G5" ca="1" si="0">IF(OR(D2="", D2&lt;=TODAY()), 1, 0)</f>
        <v>1</v>
      </c>
      <c r="H2" s="4">
        <f t="shared" ref="H2:H5" ca="1" si="1">IF(OR(E2="", E2&gt;=TODAY()), 1, 0)</f>
        <v>0</v>
      </c>
    </row>
    <row r="3" spans="1:8">
      <c r="A3" s="4" t="s">
        <v>75</v>
      </c>
      <c r="B3" s="4" t="s">
        <v>8</v>
      </c>
      <c r="C3" s="4">
        <v>50</v>
      </c>
      <c r="D3" s="10">
        <v>45993</v>
      </c>
      <c r="E3" s="10">
        <v>46055</v>
      </c>
      <c r="G3" s="4">
        <f t="shared" ca="1" si="0"/>
        <v>1</v>
      </c>
      <c r="H3" s="4">
        <f t="shared" ca="1" si="1"/>
        <v>0</v>
      </c>
    </row>
    <row r="4" spans="1:8">
      <c r="A4" s="4" t="s">
        <v>75</v>
      </c>
      <c r="B4" s="4" t="s">
        <v>3</v>
      </c>
      <c r="C4" s="4">
        <v>150</v>
      </c>
      <c r="G4" s="4">
        <f t="shared" ca="1" si="0"/>
        <v>1</v>
      </c>
      <c r="H4" s="4">
        <f t="shared" ca="1" si="1"/>
        <v>1</v>
      </c>
    </row>
    <row r="5" spans="1:8">
      <c r="A5" s="4" t="s">
        <v>75</v>
      </c>
      <c r="B5" s="4" t="s">
        <v>9</v>
      </c>
      <c r="C5" s="4">
        <v>100</v>
      </c>
      <c r="G5" s="4">
        <f t="shared" ca="1" si="0"/>
        <v>1</v>
      </c>
      <c r="H5" s="4">
        <f t="shared" ca="1" si="1"/>
        <v>1</v>
      </c>
    </row>
    <row r="6" spans="1:8">
      <c r="A6" s="4" t="s">
        <v>75</v>
      </c>
      <c r="B6" s="4" t="s">
        <v>3</v>
      </c>
      <c r="C6" s="4">
        <v>250</v>
      </c>
      <c r="D6" s="10">
        <v>45658</v>
      </c>
      <c r="E6" s="10">
        <v>45689</v>
      </c>
      <c r="G6" s="4">
        <f ca="1">IF(OR(D6="", D6&lt;=TODAY()), 1, 0)</f>
        <v>1</v>
      </c>
      <c r="H6" s="4">
        <f ca="1">IF(OR(E6="", E6&gt;=TODAY()), 1, 0)</f>
        <v>0</v>
      </c>
    </row>
    <row r="7" spans="1:8">
      <c r="A7" s="4" t="s">
        <v>75</v>
      </c>
      <c r="B7" s="4" t="s">
        <v>5</v>
      </c>
      <c r="C7" s="4">
        <v>100</v>
      </c>
      <c r="G7" s="4">
        <f ca="1">IF(OR(D7="", D7&lt;=TODAY()), 1, 0)</f>
        <v>1</v>
      </c>
      <c r="H7" s="4">
        <f ca="1">IF(OR(E7="", E7&gt;=TODAY()), 1, 0)</f>
        <v>1</v>
      </c>
    </row>
    <row r="8" spans="1:8">
      <c r="A8" s="4" t="s">
        <v>75</v>
      </c>
      <c r="B8" s="4" t="s">
        <v>76</v>
      </c>
      <c r="C8" s="4">
        <v>1000</v>
      </c>
      <c r="D8" s="10">
        <v>45962</v>
      </c>
      <c r="E8" s="10">
        <v>45991</v>
      </c>
      <c r="G8" s="4">
        <f ca="1">IF(OR(D8="", D8&lt;=TODAY()), 1, 0)</f>
        <v>1</v>
      </c>
      <c r="H8" s="4">
        <f ca="1">IF(OR(E8="", E8&gt;=TODAY()), 1, 0)</f>
        <v>0</v>
      </c>
    </row>
    <row r="9" spans="1:8">
      <c r="A9" s="4" t="s">
        <v>75</v>
      </c>
      <c r="B9" s="4" t="s">
        <v>76</v>
      </c>
      <c r="C9" s="4">
        <v>1100</v>
      </c>
      <c r="D9" s="10">
        <v>45992</v>
      </c>
      <c r="E9" s="10">
        <v>46022</v>
      </c>
      <c r="G9" s="4">
        <f ca="1">IF(OR(D9="", D9&lt;=TODAY()), 1, 0)</f>
        <v>1</v>
      </c>
      <c r="H9" s="4">
        <f ca="1">IF(OR(E9="", E9&gt;=TODAY()), 1, 0)</f>
        <v>0</v>
      </c>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ClearExpensesIncomes">
                <anchor moveWithCells="1" sizeWithCells="1">
                  <from>
                    <xdr:col>8</xdr:col>
                    <xdr:colOff>561975</xdr:colOff>
                    <xdr:row>3</xdr:row>
                    <xdr:rowOff>171450</xdr:rowOff>
                  </from>
                  <to>
                    <xdr:col>11</xdr:col>
                    <xdr:colOff>19050</xdr:colOff>
                    <xdr:row>7</xdr:row>
                    <xdr:rowOff>47625</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C9:M88"/>
  <sheetViews>
    <sheetView workbookViewId="0">
      <selection activeCell="N17" sqref="N17"/>
    </sheetView>
  </sheetViews>
  <sheetFormatPr defaultRowHeight="15.75"/>
  <cols>
    <col min="1" max="2" width="9.140625" style="35"/>
    <col min="3" max="3" width="9.140625" style="35" customWidth="1"/>
    <col min="4" max="16384" width="9.140625" style="35"/>
  </cols>
  <sheetData>
    <row r="9" spans="3:13" ht="21">
      <c r="C9" s="34" t="s">
        <v>77</v>
      </c>
    </row>
    <row r="10" spans="3:13" ht="21">
      <c r="C10" s="34" t="s">
        <v>78</v>
      </c>
    </row>
    <row r="13" spans="3:13">
      <c r="C13" s="36" t="s">
        <v>79</v>
      </c>
    </row>
    <row r="15" spans="3:13" ht="15.75" customHeight="1">
      <c r="C15" s="40" t="s">
        <v>80</v>
      </c>
      <c r="D15" s="40"/>
      <c r="E15" s="40"/>
      <c r="F15" s="40"/>
      <c r="G15" s="40"/>
      <c r="H15" s="40"/>
      <c r="I15" s="40"/>
      <c r="J15" s="40"/>
      <c r="K15" s="40"/>
      <c r="L15" s="40"/>
      <c r="M15" s="40"/>
    </row>
    <row r="16" spans="3:13">
      <c r="C16" s="40"/>
      <c r="D16" s="40"/>
      <c r="E16" s="40"/>
      <c r="F16" s="40"/>
      <c r="G16" s="40"/>
      <c r="H16" s="40"/>
      <c r="I16" s="40"/>
      <c r="J16" s="40"/>
      <c r="K16" s="40"/>
      <c r="L16" s="40"/>
      <c r="M16" s="40"/>
    </row>
    <row r="17" spans="3:13">
      <c r="C17" s="40"/>
      <c r="D17" s="40"/>
      <c r="E17" s="40"/>
      <c r="F17" s="40"/>
      <c r="G17" s="40"/>
      <c r="H17" s="40"/>
      <c r="I17" s="40"/>
      <c r="J17" s="40"/>
      <c r="K17" s="40"/>
      <c r="L17" s="40"/>
      <c r="M17" s="40"/>
    </row>
    <row r="18" spans="3:13">
      <c r="C18" s="37"/>
      <c r="D18" s="37"/>
      <c r="E18" s="37"/>
      <c r="F18" s="37"/>
      <c r="G18" s="37"/>
      <c r="H18" s="37"/>
      <c r="I18" s="37"/>
      <c r="J18" s="37"/>
      <c r="K18" s="37"/>
      <c r="L18" s="37"/>
      <c r="M18" s="37"/>
    </row>
    <row r="20" spans="3:13">
      <c r="C20" s="36" t="s">
        <v>81</v>
      </c>
    </row>
    <row r="22" spans="3:13">
      <c r="C22" s="35" t="s">
        <v>82</v>
      </c>
    </row>
    <row r="23" spans="3:13">
      <c r="C23" s="35" t="s">
        <v>83</v>
      </c>
    </row>
    <row r="24" spans="3:13">
      <c r="C24" s="35" t="s">
        <v>84</v>
      </c>
    </row>
    <row r="25" spans="3:13">
      <c r="C25" s="35" t="s">
        <v>85</v>
      </c>
    </row>
    <row r="26" spans="3:13">
      <c r="C26" s="35" t="s">
        <v>86</v>
      </c>
    </row>
    <row r="27" spans="3:13">
      <c r="C27" s="35" t="s">
        <v>87</v>
      </c>
    </row>
    <row r="28" spans="3:13">
      <c r="C28" s="35" t="s">
        <v>88</v>
      </c>
    </row>
    <row r="29" spans="3:13">
      <c r="C29" s="35" t="s">
        <v>89</v>
      </c>
    </row>
    <row r="32" spans="3:13">
      <c r="C32" s="36" t="s">
        <v>90</v>
      </c>
    </row>
    <row r="34" spans="3:3">
      <c r="C34" s="35" t="s">
        <v>91</v>
      </c>
    </row>
    <row r="35" spans="3:3">
      <c r="C35" s="35" t="s">
        <v>92</v>
      </c>
    </row>
    <row r="36" spans="3:3">
      <c r="C36" s="35" t="s">
        <v>93</v>
      </c>
    </row>
    <row r="39" spans="3:3">
      <c r="C39" s="36" t="s">
        <v>94</v>
      </c>
    </row>
    <row r="41" spans="3:3">
      <c r="C41" s="35" t="s">
        <v>95</v>
      </c>
    </row>
    <row r="42" spans="3:3">
      <c r="C42" s="35" t="s">
        <v>96</v>
      </c>
    </row>
    <row r="43" spans="3:3">
      <c r="C43" s="35" t="s">
        <v>97</v>
      </c>
    </row>
    <row r="44" spans="3:3">
      <c r="C44" s="35" t="s">
        <v>98</v>
      </c>
    </row>
    <row r="45" spans="3:3">
      <c r="C45" s="35" t="s">
        <v>99</v>
      </c>
    </row>
    <row r="48" spans="3:3">
      <c r="C48" s="36" t="s">
        <v>100</v>
      </c>
    </row>
    <row r="50" spans="3:3">
      <c r="C50" s="35" t="s">
        <v>101</v>
      </c>
    </row>
    <row r="51" spans="3:3">
      <c r="C51" s="35" t="s">
        <v>102</v>
      </c>
    </row>
    <row r="52" spans="3:3">
      <c r="C52" s="35" t="s">
        <v>103</v>
      </c>
    </row>
    <row r="53" spans="3:3">
      <c r="C53" s="35" t="s">
        <v>104</v>
      </c>
    </row>
    <row r="54" spans="3:3">
      <c r="C54" s="35" t="s">
        <v>105</v>
      </c>
    </row>
    <row r="55" spans="3:3">
      <c r="C55" s="35" t="s">
        <v>106</v>
      </c>
    </row>
    <row r="56" spans="3:3">
      <c r="C56" s="35" t="s">
        <v>107</v>
      </c>
    </row>
    <row r="59" spans="3:3">
      <c r="C59" s="36" t="s">
        <v>108</v>
      </c>
    </row>
    <row r="61" spans="3:3">
      <c r="C61" s="35" t="s">
        <v>109</v>
      </c>
    </row>
    <row r="62" spans="3:3">
      <c r="C62" s="35" t="s">
        <v>110</v>
      </c>
    </row>
    <row r="63" spans="3:3">
      <c r="C63" s="35" t="s">
        <v>111</v>
      </c>
    </row>
    <row r="64" spans="3:3">
      <c r="C64" s="35" t="s">
        <v>112</v>
      </c>
    </row>
    <row r="65" spans="3:3">
      <c r="C65" s="35" t="s">
        <v>113</v>
      </c>
    </row>
    <row r="66" spans="3:3">
      <c r="C66" s="35" t="s">
        <v>114</v>
      </c>
    </row>
    <row r="69" spans="3:3">
      <c r="C69" s="36" t="s">
        <v>115</v>
      </c>
    </row>
    <row r="71" spans="3:3">
      <c r="C71" s="35" t="s">
        <v>116</v>
      </c>
    </row>
    <row r="72" spans="3:3">
      <c r="C72" s="35" t="s">
        <v>117</v>
      </c>
    </row>
    <row r="73" spans="3:3">
      <c r="C73" s="35" t="s">
        <v>118</v>
      </c>
    </row>
    <row r="74" spans="3:3">
      <c r="C74" s="35" t="s">
        <v>119</v>
      </c>
    </row>
    <row r="75" spans="3:3">
      <c r="C75" s="35" t="s">
        <v>120</v>
      </c>
    </row>
    <row r="76" spans="3:3">
      <c r="C76" s="35" t="s">
        <v>121</v>
      </c>
    </row>
    <row r="79" spans="3:3">
      <c r="C79" s="36" t="s">
        <v>122</v>
      </c>
    </row>
    <row r="81" spans="3:3">
      <c r="C81" s="35" t="s">
        <v>123</v>
      </c>
    </row>
    <row r="82" spans="3:3">
      <c r="C82" s="35" t="s">
        <v>124</v>
      </c>
    </row>
    <row r="83" spans="3:3">
      <c r="C83" s="35" t="s">
        <v>125</v>
      </c>
    </row>
    <row r="84" spans="3:3">
      <c r="C84" s="35" t="s">
        <v>126</v>
      </c>
    </row>
    <row r="85" spans="3:3">
      <c r="C85" s="35" t="s">
        <v>127</v>
      </c>
    </row>
    <row r="88" spans="3:3">
      <c r="C88" s="36"/>
    </row>
  </sheetData>
  <mergeCells count="1">
    <mergeCell ref="C15:M1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open_home">
                <anchor moveWithCells="1" sizeWithCells="1">
                  <from>
                    <xdr:col>1</xdr:col>
                    <xdr:colOff>19050</xdr:colOff>
                    <xdr:row>1</xdr:row>
                    <xdr:rowOff>123825</xdr:rowOff>
                  </from>
                  <to>
                    <xdr:col>4</xdr:col>
                    <xdr:colOff>0</xdr:colOff>
                    <xdr:row>4</xdr:row>
                    <xdr:rowOff>104775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03402a0f-59ba-45b2-bdf0-b3c3b9be90f4"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30E7D2317BFF94FA3DB41788A502F44" ma:contentTypeVersion="5" ma:contentTypeDescription="Create a new document." ma:contentTypeScope="" ma:versionID="1244c4593b11f75746af0aa895239525">
  <xsd:schema xmlns:xsd="http://www.w3.org/2001/XMLSchema" xmlns:xs="http://www.w3.org/2001/XMLSchema" xmlns:p="http://schemas.microsoft.com/office/2006/metadata/properties" xmlns:ns3="03402a0f-59ba-45b2-bdf0-b3c3b9be90f4" targetNamespace="http://schemas.microsoft.com/office/2006/metadata/properties" ma:root="true" ma:fieldsID="bb068b9821ed43f263c5cf63e3fd5953" ns3:_="">
    <xsd:import namespace="03402a0f-59ba-45b2-bdf0-b3c3b9be90f4"/>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3402a0f-59ba-45b2-bdf0-b3c3b9be90f4"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_activity" ma:index="12"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0CFBFAF-63EF-45DD-AA43-721FDC8CDB9C}"/>
</file>

<file path=customXml/itemProps2.xml><?xml version="1.0" encoding="utf-8"?>
<ds:datastoreItem xmlns:ds="http://schemas.openxmlformats.org/officeDocument/2006/customXml" ds:itemID="{94EB9365-495B-407E-957C-7612A5B10ECA}"/>
</file>

<file path=customXml/itemProps3.xml><?xml version="1.0" encoding="utf-8"?>
<ds:datastoreItem xmlns:ds="http://schemas.openxmlformats.org/officeDocument/2006/customXml" ds:itemID="{76AC4187-E8E2-48B3-B660-1DF05C3D8EC0}"/>
</file>

<file path=docMetadata/LabelInfo.xml><?xml version="1.0" encoding="utf-8"?>
<clbl:labelList xmlns:clbl="http://schemas.microsoft.com/office/2020/mipLabelMetadata">
  <clbl:label id="{723a5a87-f39a-4a22-9247-3fc240c01396}" enabled="0" method="" siteId="{723a5a87-f39a-4a22-9247-3fc240c01396}" removed="1"/>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Gillian Tsoi</dc:creator>
  <cp:keywords/>
  <dc:description/>
  <cp:lastModifiedBy/>
  <cp:revision/>
  <dcterms:created xsi:type="dcterms:W3CDTF">2021-10-13T18:04:27Z</dcterms:created>
  <dcterms:modified xsi:type="dcterms:W3CDTF">2026-03-14T21:15:54Z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0x010100930E7D2317BFF94FA3DB41788A502F44</vt:lpwstr>
  </property>
</Properties>
</file>